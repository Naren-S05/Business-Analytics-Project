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Data" sheetId="1" state="visible" r:id="rId3"/>
    <sheet name="Cleaned Data" sheetId="2" state="visible" r:id="rId4"/>
    <sheet name="Dashboard" sheetId="3" state="visible" r:id="rId5"/>
    <sheet name="Pivot - By Region" sheetId="4" state="visible" r:id="rId6"/>
    <sheet name="Pivot - By Product" sheetId="5" state="visible" r:id="rId7"/>
    <sheet name="Pivot - Monthly Trend" sheetId="6" state="visible" r:id="rId8"/>
  </sheets>
  <definedNames>
    <definedName function="false" hidden="true" localSheetId="4" name="_xlnm._FilterDatabase" vbProcedure="false">'Pivot - By Product'!$A$1:$E$17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<sst xmlns="http://schemas.openxmlformats.org/spreadsheetml/2006/main" count="2070" uniqueCount="511">
  <si>
    <t xml:space="preserve">Order_ID</t>
  </si>
  <si>
    <t xml:space="preserve">Order_Date</t>
  </si>
  <si>
    <t xml:space="preserve">Region</t>
  </si>
  <si>
    <t xml:space="preserve">Product</t>
  </si>
  <si>
    <t xml:space="preserve">Category</t>
  </si>
  <si>
    <t xml:space="preserve">Sales_Amount</t>
  </si>
  <si>
    <t xml:space="preserve">Profit</t>
  </si>
  <si>
    <t xml:space="preserve">Quantity</t>
  </si>
  <si>
    <t xml:space="preserve">Note: Raw export — contains duplicate rows, missing Region/Category values, and inconsistent date formats.</t>
  </si>
  <si>
    <t xml:space="preserve">ORD1001</t>
  </si>
  <si>
    <t xml:space="preserve">03-04-2026</t>
  </si>
  <si>
    <t xml:space="preserve">East</t>
  </si>
  <si>
    <t xml:space="preserve">ProBook X1</t>
  </si>
  <si>
    <t xml:space="preserve">Laptops</t>
  </si>
  <si>
    <t xml:space="preserve">850</t>
  </si>
  <si>
    <t xml:space="preserve">119.0</t>
  </si>
  <si>
    <t xml:space="preserve">1</t>
  </si>
  <si>
    <t xml:space="preserve">ORD1002</t>
  </si>
  <si>
    <t xml:space="preserve">2026-03-01</t>
  </si>
  <si>
    <t xml:space="preserve">South</t>
  </si>
  <si>
    <t xml:space="preserve">239.11</t>
  </si>
  <si>
    <t xml:space="preserve">ORD1003</t>
  </si>
  <si>
    <t xml:space="preserve">2026-01-02</t>
  </si>
  <si>
    <t xml:space="preserve">Laptop Sleeve 14in</t>
  </si>
  <si>
    <t xml:space="preserve">Accessories</t>
  </si>
  <si>
    <t xml:space="preserve">20</t>
  </si>
  <si>
    <t xml:space="preserve">6.23</t>
  </si>
  <si>
    <t xml:space="preserve">2</t>
  </si>
  <si>
    <t xml:space="preserve">ORD1004</t>
  </si>
  <si>
    <t xml:space="preserve">08/04/2026</t>
  </si>
  <si>
    <t xml:space="preserve">North</t>
  </si>
  <si>
    <t xml:space="preserve">SoundWave Buds</t>
  </si>
  <si>
    <t xml:space="preserve">45</t>
  </si>
  <si>
    <t xml:space="preserve">50.78</t>
  </si>
  <si>
    <t xml:space="preserve">5</t>
  </si>
  <si>
    <t xml:space="preserve">ORD1005</t>
  </si>
  <si>
    <t xml:space="preserve">2026-06-10</t>
  </si>
  <si>
    <t xml:space="preserve">FastCharge 65W</t>
  </si>
  <si>
    <t xml:space="preserve">25</t>
  </si>
  <si>
    <t xml:space="preserve">9.79</t>
  </si>
  <si>
    <t xml:space="preserve">3</t>
  </si>
  <si>
    <t xml:space="preserve">ORD1006</t>
  </si>
  <si>
    <t xml:space="preserve">2026-01-26</t>
  </si>
  <si>
    <t xml:space="preserve">Audio</t>
  </si>
  <si>
    <t xml:space="preserve">36.93</t>
  </si>
  <si>
    <t xml:space="preserve">4</t>
  </si>
  <si>
    <t xml:space="preserve">ORD1007</t>
  </si>
  <si>
    <t xml:space="preserve">2026-06-05</t>
  </si>
  <si>
    <t xml:space="preserve">SoundWave Buds Pro</t>
  </si>
  <si>
    <t xml:space="preserve">65</t>
  </si>
  <si>
    <t xml:space="preserve">67.36</t>
  </si>
  <si>
    <t xml:space="preserve">ORD1008</t>
  </si>
  <si>
    <t xml:space="preserve">2026-01-15</t>
  </si>
  <si>
    <t xml:space="preserve">FitTrack Band</t>
  </si>
  <si>
    <t xml:space="preserve">Wearables</t>
  </si>
  <si>
    <t xml:space="preserve">55</t>
  </si>
  <si>
    <t xml:space="preserve">54.45</t>
  </si>
  <si>
    <t xml:space="preserve">ORD1009</t>
  </si>
  <si>
    <t xml:space="preserve">2026-04-12</t>
  </si>
  <si>
    <t xml:space="preserve">West</t>
  </si>
  <si>
    <t xml:space="preserve">47.72</t>
  </si>
  <si>
    <t xml:space="preserve">6</t>
  </si>
  <si>
    <t xml:space="preserve">ORD1010</t>
  </si>
  <si>
    <t xml:space="preserve">2026-05-30</t>
  </si>
  <si>
    <t xml:space="preserve">30.36</t>
  </si>
  <si>
    <t xml:space="preserve">ORD1011</t>
  </si>
  <si>
    <t xml:space="preserve">2026-06-24</t>
  </si>
  <si>
    <t xml:space="preserve">UltraSlim 14</t>
  </si>
  <si>
    <t xml:space="preserve">720</t>
  </si>
  <si>
    <t xml:space="preserve">163.91</t>
  </si>
  <si>
    <t xml:space="preserve">ORD1012</t>
  </si>
  <si>
    <t xml:space="preserve">30.94</t>
  </si>
  <si>
    <t xml:space="preserve">ORD1013</t>
  </si>
  <si>
    <t xml:space="preserve">2026-05-10</t>
  </si>
  <si>
    <t xml:space="preserve">GameForce G5</t>
  </si>
  <si>
    <t xml:space="preserve">1200</t>
  </si>
  <si>
    <t xml:space="preserve">1872.45</t>
  </si>
  <si>
    <t xml:space="preserve">ORD1014</t>
  </si>
  <si>
    <t xml:space="preserve">06/05/2026</t>
  </si>
  <si>
    <t xml:space="preserve">NovaPhone 12</t>
  </si>
  <si>
    <t xml:space="preserve">Smartphones</t>
  </si>
  <si>
    <t xml:space="preserve">620</t>
  </si>
  <si>
    <t xml:space="preserve">465.92</t>
  </si>
  <si>
    <t xml:space="preserve">ORD1015</t>
  </si>
  <si>
    <t xml:space="preserve">2026-02-02</t>
  </si>
  <si>
    <t xml:space="preserve">32.44</t>
  </si>
  <si>
    <t xml:space="preserve">ORD1016</t>
  </si>
  <si>
    <t xml:space="preserve">2026-04-13</t>
  </si>
  <si>
    <t xml:space="preserve">73.87</t>
  </si>
  <si>
    <t xml:space="preserve">ORD1017</t>
  </si>
  <si>
    <t xml:space="preserve">2026-05-31</t>
  </si>
  <si>
    <t xml:space="preserve">1590.92</t>
  </si>
  <si>
    <t xml:space="preserve">ORD1018</t>
  </si>
  <si>
    <t xml:space="preserve">05-12-2026</t>
  </si>
  <si>
    <t xml:space="preserve">1608.81</t>
  </si>
  <si>
    <t xml:space="preserve">ORD1019</t>
  </si>
  <si>
    <t xml:space="preserve">2026-04-15</t>
  </si>
  <si>
    <t xml:space="preserve">34.11</t>
  </si>
  <si>
    <t xml:space="preserve">ORD1020</t>
  </si>
  <si>
    <t xml:space="preserve">2026-03-28</t>
  </si>
  <si>
    <t xml:space="preserve">189.7</t>
  </si>
  <si>
    <t xml:space="preserve">ORD1021</t>
  </si>
  <si>
    <t xml:space="preserve">2026-01-20</t>
  </si>
  <si>
    <t xml:space="preserve">BassPod Speaker</t>
  </si>
  <si>
    <t xml:space="preserve">90</t>
  </si>
  <si>
    <t xml:space="preserve">109.95</t>
  </si>
  <si>
    <t xml:space="preserve">ORD1022</t>
  </si>
  <si>
    <t xml:space="preserve">227.33</t>
  </si>
  <si>
    <t xml:space="preserve">ORD1023</t>
  </si>
  <si>
    <t xml:space="preserve">2026-03-15</t>
  </si>
  <si>
    <t xml:space="preserve">TypeC Cable Pack</t>
  </si>
  <si>
    <t xml:space="preserve">12</t>
  </si>
  <si>
    <t xml:space="preserve">20.54</t>
  </si>
  <si>
    <t xml:space="preserve">ORD1024</t>
  </si>
  <si>
    <t xml:space="preserve">2026-05-29</t>
  </si>
  <si>
    <t xml:space="preserve">11.45</t>
  </si>
  <si>
    <t xml:space="preserve">ORD1025</t>
  </si>
  <si>
    <t xml:space="preserve">2026-05-11</t>
  </si>
  <si>
    <t xml:space="preserve">9.58</t>
  </si>
  <si>
    <t xml:space="preserve">ORD1026</t>
  </si>
  <si>
    <t xml:space="preserve">06-08-2026</t>
  </si>
  <si>
    <t xml:space="preserve">49.49</t>
  </si>
  <si>
    <t xml:space="preserve">ORD1027</t>
  </si>
  <si>
    <t xml:space="preserve">04-12-2026</t>
  </si>
  <si>
    <t xml:space="preserve">45.25</t>
  </si>
  <si>
    <t xml:space="preserve">ORD1028</t>
  </si>
  <si>
    <t xml:space="preserve">18/05/2026</t>
  </si>
  <si>
    <t xml:space="preserve">35.45</t>
  </si>
  <si>
    <t xml:space="preserve">ORD1029</t>
  </si>
  <si>
    <t xml:space="preserve">2026-06-06</t>
  </si>
  <si>
    <t xml:space="preserve">NovaPhone 12 Pro</t>
  </si>
  <si>
    <t xml:space="preserve">780</t>
  </si>
  <si>
    <t xml:space="preserve">1158.57</t>
  </si>
  <si>
    <t xml:space="preserve">ORD1030</t>
  </si>
  <si>
    <t xml:space="preserve">2026-01-30</t>
  </si>
  <si>
    <t xml:space="preserve">1119.36</t>
  </si>
  <si>
    <t xml:space="preserve">ORD1031</t>
  </si>
  <si>
    <t xml:space="preserve">2026-03-06</t>
  </si>
  <si>
    <t xml:space="preserve">OrbitPhone Lite</t>
  </si>
  <si>
    <t xml:space="preserve">310</t>
  </si>
  <si>
    <t xml:space="preserve">56.93</t>
  </si>
  <si>
    <t xml:space="preserve">ORD1032</t>
  </si>
  <si>
    <t xml:space="preserve">2026-04-24</t>
  </si>
  <si>
    <t xml:space="preserve">418.33</t>
  </si>
  <si>
    <t xml:space="preserve">ORD1033</t>
  </si>
  <si>
    <t xml:space="preserve">810.38</t>
  </si>
  <si>
    <t xml:space="preserve">ORD1034</t>
  </si>
  <si>
    <t xml:space="preserve">768.48</t>
  </si>
  <si>
    <t xml:space="preserve">ORD1035</t>
  </si>
  <si>
    <t xml:space="preserve">2026-02-15</t>
  </si>
  <si>
    <t xml:space="preserve">PixelMax S</t>
  </si>
  <si>
    <t xml:space="preserve">590</t>
  </si>
  <si>
    <t xml:space="preserve">176.97</t>
  </si>
  <si>
    <t xml:space="preserve">ORD1036</t>
  </si>
  <si>
    <t xml:space="preserve">2026-06-29</t>
  </si>
  <si>
    <t xml:space="preserve">280.08</t>
  </si>
  <si>
    <t xml:space="preserve">ORD1037</t>
  </si>
  <si>
    <t xml:space="preserve">18/06/2026</t>
  </si>
  <si>
    <t xml:space="preserve">326.03</t>
  </si>
  <si>
    <t xml:space="preserve">ORD1038</t>
  </si>
  <si>
    <t xml:space="preserve">08/01/2026</t>
  </si>
  <si>
    <t xml:space="preserve">5.15</t>
  </si>
  <si>
    <t xml:space="preserve">ORD1039</t>
  </si>
  <si>
    <t xml:space="preserve">2026-04-22</t>
  </si>
  <si>
    <t xml:space="preserve">53.21</t>
  </si>
  <si>
    <t xml:space="preserve">ORD1040</t>
  </si>
  <si>
    <t xml:space="preserve">2026-04-04</t>
  </si>
  <si>
    <t xml:space="preserve">40.89</t>
  </si>
  <si>
    <t xml:space="preserve">ORD1041</t>
  </si>
  <si>
    <t xml:space="preserve">2026-06-20</t>
  </si>
  <si>
    <t xml:space="preserve">42.67</t>
  </si>
  <si>
    <t xml:space="preserve">ORD1042</t>
  </si>
  <si>
    <t xml:space="preserve">2026-06-07</t>
  </si>
  <si>
    <t xml:space="preserve">14.88</t>
  </si>
  <si>
    <t xml:space="preserve">ORD1043</t>
  </si>
  <si>
    <t xml:space="preserve">FitTrack Watch Pro</t>
  </si>
  <si>
    <t xml:space="preserve">130</t>
  </si>
  <si>
    <t xml:space="preserve">88.6</t>
  </si>
  <si>
    <t xml:space="preserve">ORD1044</t>
  </si>
  <si>
    <t xml:space="preserve">2026-01-24</t>
  </si>
  <si>
    <t xml:space="preserve">397.92</t>
  </si>
  <si>
    <t xml:space="preserve">ORD1045</t>
  </si>
  <si>
    <t xml:space="preserve">2026-04-27</t>
  </si>
  <si>
    <t xml:space="preserve">974.91</t>
  </si>
  <si>
    <t xml:space="preserve">ORD1046</t>
  </si>
  <si>
    <t xml:space="preserve">04-19-2026</t>
  </si>
  <si>
    <t xml:space="preserve">1026.16</t>
  </si>
  <si>
    <t xml:space="preserve">ORD1047</t>
  </si>
  <si>
    <t xml:space="preserve">1537.74</t>
  </si>
  <si>
    <t xml:space="preserve">ORD1048</t>
  </si>
  <si>
    <t xml:space="preserve">2026-03-08</t>
  </si>
  <si>
    <t xml:space="preserve">1083.22</t>
  </si>
  <si>
    <t xml:space="preserve">ORD1049</t>
  </si>
  <si>
    <t xml:space="preserve">2026-03-02</t>
  </si>
  <si>
    <t xml:space="preserve">11.6</t>
  </si>
  <si>
    <t xml:space="preserve">ORD1050</t>
  </si>
  <si>
    <t xml:space="preserve">2026-04-17</t>
  </si>
  <si>
    <t xml:space="preserve">919.12</t>
  </si>
  <si>
    <t xml:space="preserve">ORD1051</t>
  </si>
  <si>
    <t xml:space="preserve">03/05/2026</t>
  </si>
  <si>
    <t xml:space="preserve">55.98</t>
  </si>
  <si>
    <t xml:space="preserve">ORD1052</t>
  </si>
  <si>
    <t xml:space="preserve">2026-02-26</t>
  </si>
  <si>
    <t xml:space="preserve">60.76</t>
  </si>
  <si>
    <t xml:space="preserve">ORD1053</t>
  </si>
  <si>
    <t xml:space="preserve">2026-06-09</t>
  </si>
  <si>
    <t xml:space="preserve">434.64</t>
  </si>
  <si>
    <t xml:space="preserve">ORD1054</t>
  </si>
  <si>
    <t xml:space="preserve">16.12</t>
  </si>
  <si>
    <t xml:space="preserve">ORD1055</t>
  </si>
  <si>
    <t xml:space="preserve">05-01-2026</t>
  </si>
  <si>
    <t xml:space="preserve">3.23</t>
  </si>
  <si>
    <t xml:space="preserve">ORD1056</t>
  </si>
  <si>
    <t xml:space="preserve">2026-02-21</t>
  </si>
  <si>
    <t xml:space="preserve">1164.4</t>
  </si>
  <si>
    <t xml:space="preserve">ORD1057</t>
  </si>
  <si>
    <t xml:space="preserve">04-05-2026</t>
  </si>
  <si>
    <t xml:space="preserve">737.88</t>
  </si>
  <si>
    <t xml:space="preserve">ORD1058</t>
  </si>
  <si>
    <t xml:space="preserve">2026-05-28</t>
  </si>
  <si>
    <t xml:space="preserve">30.25</t>
  </si>
  <si>
    <t xml:space="preserve">ORD1059</t>
  </si>
  <si>
    <t xml:space="preserve">2026-06-25</t>
  </si>
  <si>
    <t xml:space="preserve">80.26</t>
  </si>
  <si>
    <t xml:space="preserve">ORD1060</t>
  </si>
  <si>
    <t xml:space="preserve">2026-01-04</t>
  </si>
  <si>
    <t xml:space="preserve">47.91</t>
  </si>
  <si>
    <t xml:space="preserve">ORD1061</t>
  </si>
  <si>
    <t xml:space="preserve">2026-05-14</t>
  </si>
  <si>
    <t xml:space="preserve">697.71</t>
  </si>
  <si>
    <t xml:space="preserve">ORD1062</t>
  </si>
  <si>
    <t xml:space="preserve">2026-03-04</t>
  </si>
  <si>
    <t xml:space="preserve">38.04</t>
  </si>
  <si>
    <t xml:space="preserve">ORD1063</t>
  </si>
  <si>
    <t xml:space="preserve">2026-05-07</t>
  </si>
  <si>
    <t xml:space="preserve">4.31</t>
  </si>
  <si>
    <t xml:space="preserve">ORD1064</t>
  </si>
  <si>
    <t xml:space="preserve">2026-05-13</t>
  </si>
  <si>
    <t xml:space="preserve">32.2</t>
  </si>
  <si>
    <t xml:space="preserve">ORD1065</t>
  </si>
  <si>
    <t xml:space="preserve">2026-04-25</t>
  </si>
  <si>
    <t xml:space="preserve">3.52</t>
  </si>
  <si>
    <t xml:space="preserve">ORD1066</t>
  </si>
  <si>
    <t xml:space="preserve">2026-04-19</t>
  </si>
  <si>
    <t xml:space="preserve">82.04</t>
  </si>
  <si>
    <t xml:space="preserve">ORD1067</t>
  </si>
  <si>
    <t xml:space="preserve">2026-01-31</t>
  </si>
  <si>
    <t xml:space="preserve">999.5</t>
  </si>
  <si>
    <t xml:space="preserve">ORD1068</t>
  </si>
  <si>
    <t xml:space="preserve">2026-02-19</t>
  </si>
  <si>
    <t xml:space="preserve">94.71</t>
  </si>
  <si>
    <t xml:space="preserve">ORD1069</t>
  </si>
  <si>
    <t xml:space="preserve">2026-06-13</t>
  </si>
  <si>
    <t xml:space="preserve">889.91</t>
  </si>
  <si>
    <t xml:space="preserve">ORD1070</t>
  </si>
  <si>
    <t xml:space="preserve">41.96</t>
  </si>
  <si>
    <t xml:space="preserve">ORD1071</t>
  </si>
  <si>
    <t xml:space="preserve">2026-05-25</t>
  </si>
  <si>
    <t xml:space="preserve">212.99</t>
  </si>
  <si>
    <t xml:space="preserve">ORD1072</t>
  </si>
  <si>
    <t xml:space="preserve">2026-04-26</t>
  </si>
  <si>
    <t xml:space="preserve">31.39</t>
  </si>
  <si>
    <t xml:space="preserve">ORD1073</t>
  </si>
  <si>
    <t xml:space="preserve">06-10-2026</t>
  </si>
  <si>
    <t xml:space="preserve">7.55</t>
  </si>
  <si>
    <t xml:space="preserve">ORD1074</t>
  </si>
  <si>
    <t xml:space="preserve">16/03/2026</t>
  </si>
  <si>
    <t xml:space="preserve">16.36</t>
  </si>
  <si>
    <t xml:space="preserve">ORD1075</t>
  </si>
  <si>
    <t xml:space="preserve">59.56</t>
  </si>
  <si>
    <t xml:space="preserve">ORD1076</t>
  </si>
  <si>
    <t xml:space="preserve">04-23-2026</t>
  </si>
  <si>
    <t xml:space="preserve">45.85</t>
  </si>
  <si>
    <t xml:space="preserve">ORD1077</t>
  </si>
  <si>
    <t xml:space="preserve">2026-03-24</t>
  </si>
  <si>
    <t xml:space="preserve">265.43</t>
  </si>
  <si>
    <t xml:space="preserve">ORD1078</t>
  </si>
  <si>
    <t xml:space="preserve">2026-02-14</t>
  </si>
  <si>
    <t xml:space="preserve">2514.94</t>
  </si>
  <si>
    <t xml:space="preserve">ORD1079</t>
  </si>
  <si>
    <t xml:space="preserve">2026-03-31</t>
  </si>
  <si>
    <t xml:space="preserve">14.69</t>
  </si>
  <si>
    <t xml:space="preserve">ORD1080</t>
  </si>
  <si>
    <t xml:space="preserve">2026-05-21</t>
  </si>
  <si>
    <t xml:space="preserve">58.05</t>
  </si>
  <si>
    <t xml:space="preserve">ORD1081</t>
  </si>
  <si>
    <t xml:space="preserve">14/01/2026</t>
  </si>
  <si>
    <t xml:space="preserve">EliteBook 360</t>
  </si>
  <si>
    <t xml:space="preserve">980</t>
  </si>
  <si>
    <t xml:space="preserve">1444.51</t>
  </si>
  <si>
    <t xml:space="preserve">ORD1082</t>
  </si>
  <si>
    <t xml:space="preserve">2026-04-23</t>
  </si>
  <si>
    <t xml:space="preserve">57.21</t>
  </si>
  <si>
    <t xml:space="preserve">ORD1083</t>
  </si>
  <si>
    <t xml:space="preserve">2026-05-22</t>
  </si>
  <si>
    <t xml:space="preserve">140.2</t>
  </si>
  <si>
    <t xml:space="preserve">ORD1084</t>
  </si>
  <si>
    <t xml:space="preserve">549.3</t>
  </si>
  <si>
    <t xml:space="preserve">ORD1085</t>
  </si>
  <si>
    <t xml:space="preserve">2026-01-18</t>
  </si>
  <si>
    <t xml:space="preserve">18.14</t>
  </si>
  <si>
    <t xml:space="preserve">ORD1086</t>
  </si>
  <si>
    <t xml:space="preserve">2026-02-08</t>
  </si>
  <si>
    <t xml:space="preserve">63.7</t>
  </si>
  <si>
    <t xml:space="preserve">ORD1087</t>
  </si>
  <si>
    <t xml:space="preserve">2026-05-27</t>
  </si>
  <si>
    <t xml:space="preserve">50.8</t>
  </si>
  <si>
    <t xml:space="preserve">ORD1088</t>
  </si>
  <si>
    <t xml:space="preserve">12.8</t>
  </si>
  <si>
    <t xml:space="preserve">ORD1089</t>
  </si>
  <si>
    <t xml:space="preserve">13.72</t>
  </si>
  <si>
    <t xml:space="preserve">ORD1090</t>
  </si>
  <si>
    <t xml:space="preserve">16/06/2026</t>
  </si>
  <si>
    <t xml:space="preserve">104.13</t>
  </si>
  <si>
    <t xml:space="preserve">ORD1091</t>
  </si>
  <si>
    <t xml:space="preserve">35.01</t>
  </si>
  <si>
    <t xml:space="preserve">ORD1092</t>
  </si>
  <si>
    <t xml:space="preserve">2026-02-12</t>
  </si>
  <si>
    <t xml:space="preserve">159.35</t>
  </si>
  <si>
    <t xml:space="preserve">ORD1093</t>
  </si>
  <si>
    <t xml:space="preserve">377.95</t>
  </si>
  <si>
    <t xml:space="preserve">ORD1094</t>
  </si>
  <si>
    <t xml:space="preserve">764.59</t>
  </si>
  <si>
    <t xml:space="preserve">ORD1095</t>
  </si>
  <si>
    <t xml:space="preserve">2026-01-19</t>
  </si>
  <si>
    <t xml:space="preserve">66.55</t>
  </si>
  <si>
    <t xml:space="preserve">ORD1096</t>
  </si>
  <si>
    <t xml:space="preserve">2026-04-09</t>
  </si>
  <si>
    <t xml:space="preserve">3.03</t>
  </si>
  <si>
    <t xml:space="preserve">ORD1097</t>
  </si>
  <si>
    <t xml:space="preserve">03-12-2026</t>
  </si>
  <si>
    <t xml:space="preserve">78.68</t>
  </si>
  <si>
    <t xml:space="preserve">ORD1098</t>
  </si>
  <si>
    <t xml:space="preserve">66.72</t>
  </si>
  <si>
    <t xml:space="preserve">ORD1099</t>
  </si>
  <si>
    <t xml:space="preserve">2026-03-21</t>
  </si>
  <si>
    <t xml:space="preserve">87.25</t>
  </si>
  <si>
    <t xml:space="preserve">ORD1100</t>
  </si>
  <si>
    <t xml:space="preserve">2026-02-03</t>
  </si>
  <si>
    <t xml:space="preserve">23.33</t>
  </si>
  <si>
    <t xml:space="preserve">ORD1101</t>
  </si>
  <si>
    <t xml:space="preserve">3.81</t>
  </si>
  <si>
    <t xml:space="preserve">ORD1102</t>
  </si>
  <si>
    <t xml:space="preserve">4.1</t>
  </si>
  <si>
    <t xml:space="preserve">ORD1103</t>
  </si>
  <si>
    <t xml:space="preserve">17.06</t>
  </si>
  <si>
    <t xml:space="preserve">ORD1104</t>
  </si>
  <si>
    <t xml:space="preserve">15/06/2026</t>
  </si>
  <si>
    <t xml:space="preserve">59.34</t>
  </si>
  <si>
    <t xml:space="preserve">ORD1105</t>
  </si>
  <si>
    <t xml:space="preserve">01-25-2026</t>
  </si>
  <si>
    <t xml:space="preserve">60.9</t>
  </si>
  <si>
    <t xml:space="preserve">ORD1106</t>
  </si>
  <si>
    <t xml:space="preserve">95.86</t>
  </si>
  <si>
    <t xml:space="preserve">ORD1107</t>
  </si>
  <si>
    <t xml:space="preserve">255.36</t>
  </si>
  <si>
    <t xml:space="preserve">ORD1108</t>
  </si>
  <si>
    <t xml:space="preserve">2026-02-18</t>
  </si>
  <si>
    <t xml:space="preserve">1046.97</t>
  </si>
  <si>
    <t xml:space="preserve">ORD1109</t>
  </si>
  <si>
    <t xml:space="preserve">402.35</t>
  </si>
  <si>
    <t xml:space="preserve">ORD1110</t>
  </si>
  <si>
    <t xml:space="preserve">2026-06-02</t>
  </si>
  <si>
    <t xml:space="preserve">90.08</t>
  </si>
  <si>
    <t xml:space="preserve">ORD1111</t>
  </si>
  <si>
    <t xml:space="preserve">180.17</t>
  </si>
  <si>
    <t xml:space="preserve">ORD1112</t>
  </si>
  <si>
    <t xml:space="preserve">2026-04-03</t>
  </si>
  <si>
    <t xml:space="preserve">256.25</t>
  </si>
  <si>
    <t xml:space="preserve">ORD1113</t>
  </si>
  <si>
    <t xml:space="preserve">2026-06-14</t>
  </si>
  <si>
    <t xml:space="preserve">28.35</t>
  </si>
  <si>
    <t xml:space="preserve">ORD1114</t>
  </si>
  <si>
    <t xml:space="preserve">6.37</t>
  </si>
  <si>
    <t xml:space="preserve">ORD1115</t>
  </si>
  <si>
    <t xml:space="preserve">25.29</t>
  </si>
  <si>
    <t xml:space="preserve">ORD1116</t>
  </si>
  <si>
    <t xml:space="preserve">47.45</t>
  </si>
  <si>
    <t xml:space="preserve">ORD1117</t>
  </si>
  <si>
    <t xml:space="preserve">2026-04-06</t>
  </si>
  <si>
    <t xml:space="preserve">22.41</t>
  </si>
  <si>
    <t xml:space="preserve">ORD1118</t>
  </si>
  <si>
    <t xml:space="preserve">05-23-2026</t>
  </si>
  <si>
    <t xml:space="preserve">1207.97</t>
  </si>
  <si>
    <t xml:space="preserve">ORD1119</t>
  </si>
  <si>
    <t xml:space="preserve">9.34</t>
  </si>
  <si>
    <t xml:space="preserve">ORD1120</t>
  </si>
  <si>
    <t xml:space="preserve">1494.13</t>
  </si>
  <si>
    <t xml:space="preserve">ORD1121</t>
  </si>
  <si>
    <t xml:space="preserve">01-08-2026</t>
  </si>
  <si>
    <t xml:space="preserve">26.68</t>
  </si>
  <si>
    <t xml:space="preserve">ORD1122</t>
  </si>
  <si>
    <t xml:space="preserve">2026-06-12</t>
  </si>
  <si>
    <t xml:space="preserve">5.41</t>
  </si>
  <si>
    <t xml:space="preserve">ORD1123</t>
  </si>
  <si>
    <t xml:space="preserve">2026-05-26</t>
  </si>
  <si>
    <t xml:space="preserve">11.83</t>
  </si>
  <si>
    <t xml:space="preserve">ORD1124</t>
  </si>
  <si>
    <t xml:space="preserve">2026-05-05</t>
  </si>
  <si>
    <t xml:space="preserve">11.69</t>
  </si>
  <si>
    <t xml:space="preserve">ORD1125</t>
  </si>
  <si>
    <t xml:space="preserve">2026-05-15</t>
  </si>
  <si>
    <t xml:space="preserve">8.62</t>
  </si>
  <si>
    <t xml:space="preserve">ORD1126</t>
  </si>
  <si>
    <t xml:space="preserve">2026-03-16</t>
  </si>
  <si>
    <t xml:space="preserve">88.33</t>
  </si>
  <si>
    <t xml:space="preserve">ORD1127</t>
  </si>
  <si>
    <t xml:space="preserve">42.75</t>
  </si>
  <si>
    <t xml:space="preserve">ORD1128</t>
  </si>
  <si>
    <t xml:space="preserve">3.19</t>
  </si>
  <si>
    <t xml:space="preserve">ORD1129</t>
  </si>
  <si>
    <t xml:space="preserve">2026-01-23</t>
  </si>
  <si>
    <t xml:space="preserve">4.81</t>
  </si>
  <si>
    <t xml:space="preserve">ORD1130</t>
  </si>
  <si>
    <t xml:space="preserve">31.47</t>
  </si>
  <si>
    <t xml:space="preserve">ORD1131</t>
  </si>
  <si>
    <t xml:space="preserve">02/03/2026</t>
  </si>
  <si>
    <t xml:space="preserve">53.03</t>
  </si>
  <si>
    <t xml:space="preserve">ORD1132</t>
  </si>
  <si>
    <t xml:space="preserve">11.66</t>
  </si>
  <si>
    <t xml:space="preserve">ORD1133</t>
  </si>
  <si>
    <t xml:space="preserve">35.89</t>
  </si>
  <si>
    <t xml:space="preserve">ORD1134</t>
  </si>
  <si>
    <t xml:space="preserve">10/01/2026</t>
  </si>
  <si>
    <t xml:space="preserve">12.67</t>
  </si>
  <si>
    <t xml:space="preserve">ORD1135</t>
  </si>
  <si>
    <t xml:space="preserve">13.76</t>
  </si>
  <si>
    <t xml:space="preserve">ORD1136</t>
  </si>
  <si>
    <t xml:space="preserve">2026-03-29</t>
  </si>
  <si>
    <t xml:space="preserve">173.44</t>
  </si>
  <si>
    <t xml:space="preserve">ORD1137</t>
  </si>
  <si>
    <t xml:space="preserve">16.57</t>
  </si>
  <si>
    <t xml:space="preserve">ORD1138</t>
  </si>
  <si>
    <t xml:space="preserve">2026-01-25</t>
  </si>
  <si>
    <t xml:space="preserve">48.78</t>
  </si>
  <si>
    <t xml:space="preserve">ORD1139</t>
  </si>
  <si>
    <t xml:space="preserve">253.23</t>
  </si>
  <si>
    <t xml:space="preserve">ORD1140</t>
  </si>
  <si>
    <t xml:space="preserve">695.8</t>
  </si>
  <si>
    <t xml:space="preserve">ORD1141</t>
  </si>
  <si>
    <t xml:space="preserve">32.77</t>
  </si>
  <si>
    <t xml:space="preserve">ORD1142</t>
  </si>
  <si>
    <t xml:space="preserve">2026-02-09</t>
  </si>
  <si>
    <t xml:space="preserve">953.58</t>
  </si>
  <si>
    <t xml:space="preserve">ORD1143</t>
  </si>
  <si>
    <t xml:space="preserve">34.28</t>
  </si>
  <si>
    <t xml:space="preserve">ORD1144</t>
  </si>
  <si>
    <t xml:space="preserve">14.65</t>
  </si>
  <si>
    <t xml:space="preserve">ORD1145</t>
  </si>
  <si>
    <t xml:space="preserve">2026-05-01</t>
  </si>
  <si>
    <t xml:space="preserve">408.78</t>
  </si>
  <si>
    <t xml:space="preserve">ORD1146</t>
  </si>
  <si>
    <t xml:space="preserve">2026-02-11</t>
  </si>
  <si>
    <t xml:space="preserve">120.36</t>
  </si>
  <si>
    <t xml:space="preserve">ORD1147</t>
  </si>
  <si>
    <t xml:space="preserve">2026-03-14</t>
  </si>
  <si>
    <t xml:space="preserve">51.34</t>
  </si>
  <si>
    <t xml:space="preserve">ORD1148</t>
  </si>
  <si>
    <t xml:space="preserve">2026-01-07</t>
  </si>
  <si>
    <t xml:space="preserve">1088.07</t>
  </si>
  <si>
    <t xml:space="preserve">ORD1149</t>
  </si>
  <si>
    <t xml:space="preserve">2026-06-16</t>
  </si>
  <si>
    <t xml:space="preserve">746.03</t>
  </si>
  <si>
    <t xml:space="preserve">ORD1150</t>
  </si>
  <si>
    <t xml:space="preserve">192.06</t>
  </si>
  <si>
    <t xml:space="preserve">ORD1151</t>
  </si>
  <si>
    <t xml:space="preserve">34.22</t>
  </si>
  <si>
    <t xml:space="preserve">ORD1152</t>
  </si>
  <si>
    <t xml:space="preserve">2026-06-11</t>
  </si>
  <si>
    <t xml:space="preserve">ORD1153</t>
  </si>
  <si>
    <t xml:space="preserve">156.65</t>
  </si>
  <si>
    <t xml:space="preserve">ORD1154</t>
  </si>
  <si>
    <t xml:space="preserve">01/05/2026</t>
  </si>
  <si>
    <t xml:space="preserve">49.72</t>
  </si>
  <si>
    <t xml:space="preserve">ORD1155</t>
  </si>
  <si>
    <t xml:space="preserve">2026-01-12</t>
  </si>
  <si>
    <t xml:space="preserve">1077.13</t>
  </si>
  <si>
    <t xml:space="preserve">ORD1156</t>
  </si>
  <si>
    <t xml:space="preserve">04/02/2026</t>
  </si>
  <si>
    <t xml:space="preserve">3.32</t>
  </si>
  <si>
    <t xml:space="preserve">ORD1157</t>
  </si>
  <si>
    <t xml:space="preserve">2026-05-20</t>
  </si>
  <si>
    <t xml:space="preserve">13.14</t>
  </si>
  <si>
    <t xml:space="preserve">ORD1158</t>
  </si>
  <si>
    <t xml:space="preserve">2026-04-05</t>
  </si>
  <si>
    <t xml:space="preserve">75.21</t>
  </si>
  <si>
    <t xml:space="preserve">ORD1159</t>
  </si>
  <si>
    <t xml:space="preserve">21.76</t>
  </si>
  <si>
    <t xml:space="preserve">ORD1160</t>
  </si>
  <si>
    <t xml:space="preserve">01-27-2026</t>
  </si>
  <si>
    <t xml:space="preserve">202.75</t>
  </si>
  <si>
    <t xml:space="preserve">Unit_Price</t>
  </si>
  <si>
    <t xml:space="preserve">Total_Sales</t>
  </si>
  <si>
    <t xml:space="preserve">Profit_Margin</t>
  </si>
  <si>
    <t xml:space="preserve">TechRetail Solutions — Sales Performance Dashboard</t>
  </si>
  <si>
    <t xml:space="preserve">Total Revenue</t>
  </si>
  <si>
    <t xml:space="preserve">Total Profit</t>
  </si>
  <si>
    <t xml:space="preserve">Total Orders</t>
  </si>
  <si>
    <t xml:space="preserve">Avg Order Value</t>
  </si>
  <si>
    <t xml:space="preserve">Overall Profit Margin</t>
  </si>
  <si>
    <t xml:space="preserve">Total Sales</t>
  </si>
  <si>
    <t xml:space="preserve">Profit Margin</t>
  </si>
  <si>
    <t xml:space="preserve">Order Count</t>
  </si>
  <si>
    <t xml:space="preserve">Units Sold</t>
  </si>
  <si>
    <t xml:space="preserve">Month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</si>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</sst>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0.0%"/>
    <numFmt numFmtId="168" formatCode="\$#,##0"/>
    <numFmt numFmtId="169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6"/>
      <rgbColor rgb="FF7F7F7F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By Region'!B1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By Region'!$A$2:$A$5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By Region'!$B$2:$B$5</c:f>
              <c:numCache>
                <c:formatCode>\$#,##0</c:formatCode>
                <c:ptCount val="4"/>
                <c:pt idx="0">
                  <c:v>55454</c:v>
                </c:pt>
                <c:pt idx="1">
                  <c:v>39486</c:v>
                </c:pt>
                <c:pt idx="2">
                  <c:v>53847</c:v>
                </c:pt>
                <c:pt idx="3">
                  <c:v>22497</c:v>
                </c:pt>
              </c:numCache>
            </c:numRef>
          </c:val>
        </c:ser>
        <c:gapWidth val="150"/>
        <c:overlap val="0"/>
        <c:axId val="17251522"/>
        <c:axId val="11540103"/>
      </c:barChart>
      <c:catAx>
        <c:axId val="17251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40103"/>
        <c:crosses val="autoZero"/>
        <c:auto val="1"/>
        <c:lblAlgn val="ctr"/>
        <c:lblOffset val="100"/>
        <c:noMultiLvlLbl val="0"/>
      </c:catAx>
      <c:valAx>
        <c:axId val="11540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51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- By Product'!C1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By Product'!$A$2:$A$17</c:f>
              <c:strCache>
                <c:ptCount val="16"/>
                <c:pt idx="0">
                  <c:v>BassPod Speaker</c:v>
                </c:pt>
                <c:pt idx="1">
                  <c:v>EliteBook 360</c:v>
                </c:pt>
                <c:pt idx="2">
                  <c:v>FastCharge 65W</c:v>
                </c:pt>
                <c:pt idx="3">
                  <c:v>FitTrack Band</c:v>
                </c:pt>
                <c:pt idx="4">
                  <c:v>FitTrack Watch Pro</c:v>
                </c:pt>
                <c:pt idx="5">
                  <c:v>GameForce G5</c:v>
                </c:pt>
                <c:pt idx="6">
                  <c:v>Laptop Sleeve 14in</c:v>
                </c:pt>
                <c:pt idx="7">
                  <c:v>NovaPhone 12</c:v>
                </c:pt>
                <c:pt idx="8">
                  <c:v>NovaPhone 12 Pro</c:v>
                </c:pt>
                <c:pt idx="9">
                  <c:v>OrbitPhone Lite</c:v>
                </c:pt>
                <c:pt idx="10">
                  <c:v>PixelMax S</c:v>
                </c:pt>
                <c:pt idx="11">
                  <c:v>ProBook X1</c:v>
                </c:pt>
                <c:pt idx="12">
                  <c:v>SoundWave Buds</c:v>
                </c:pt>
                <c:pt idx="13">
                  <c:v>SoundWave Buds Pro</c:v>
                </c:pt>
                <c:pt idx="14">
                  <c:v>TypeC Cable Pack</c:v>
                </c:pt>
                <c:pt idx="15">
                  <c:v>UltraSlim 14</c:v>
                </c:pt>
              </c:strCache>
            </c:strRef>
          </c:cat>
          <c:val>
            <c:numRef>
              <c:f>'Pivot - By Product'!$C$2:$C$17</c:f>
              <c:numCache>
                <c:formatCode>\$#,##0</c:formatCode>
                <c:ptCount val="16"/>
                <c:pt idx="0">
                  <c:v>2790</c:v>
                </c:pt>
                <c:pt idx="1">
                  <c:v>10780</c:v>
                </c:pt>
                <c:pt idx="2">
                  <c:v>1075</c:v>
                </c:pt>
                <c:pt idx="3">
                  <c:v>3025</c:v>
                </c:pt>
                <c:pt idx="4">
                  <c:v>2340</c:v>
                </c:pt>
                <c:pt idx="5">
                  <c:v>58800</c:v>
                </c:pt>
                <c:pt idx="6">
                  <c:v>960</c:v>
                </c:pt>
                <c:pt idx="7">
                  <c:v>9300</c:v>
                </c:pt>
                <c:pt idx="8">
                  <c:v>39000</c:v>
                </c:pt>
                <c:pt idx="9">
                  <c:v>6200</c:v>
                </c:pt>
                <c:pt idx="10">
                  <c:v>11210</c:v>
                </c:pt>
                <c:pt idx="11">
                  <c:v>8500</c:v>
                </c:pt>
                <c:pt idx="12">
                  <c:v>2340</c:v>
                </c:pt>
                <c:pt idx="13">
                  <c:v>3120</c:v>
                </c:pt>
                <c:pt idx="14">
                  <c:v>324</c:v>
                </c:pt>
                <c:pt idx="15">
                  <c:v>11520</c:v>
                </c:pt>
              </c:numCache>
            </c:numRef>
          </c:val>
        </c:ser>
        <c:gapWidth val="150"/>
        <c:overlap val="0"/>
        <c:axId val="73020309"/>
        <c:axId val="40026834"/>
      </c:barChart>
      <c:catAx>
        <c:axId val="73020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26834"/>
        <c:crosses val="autoZero"/>
        <c:auto val="1"/>
        <c:lblAlgn val="ctr"/>
        <c:lblOffset val="100"/>
        <c:noMultiLvlLbl val="0"/>
      </c:catAx>
      <c:valAx>
        <c:axId val="40026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20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Monthly Trend'!B1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 Trend'!$A$2:$A$7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'Pivot - Monthly Trend'!$B$2:$B$7</c:f>
              <c:numCache>
                <c:formatCode>\$#,##0</c:formatCode>
                <c:ptCount val="6"/>
                <c:pt idx="0">
                  <c:v>31977</c:v>
                </c:pt>
                <c:pt idx="1">
                  <c:v>24055</c:v>
                </c:pt>
                <c:pt idx="2">
                  <c:v>15852</c:v>
                </c:pt>
                <c:pt idx="3">
                  <c:v>28879</c:v>
                </c:pt>
                <c:pt idx="4">
                  <c:v>40366</c:v>
                </c:pt>
                <c:pt idx="5">
                  <c:v>30155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544075"/>
        <c:axId val="43179013"/>
      </c:lineChart>
      <c:catAx>
        <c:axId val="13544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79013"/>
        <c:crosses val="autoZero"/>
        <c:auto val="1"/>
        <c:lblAlgn val="ctr"/>
        <c:lblOffset val="100"/>
        <c:noMultiLvlLbl val="0"/>
      </c:catAx>
      <c:valAx>
        <c:axId val="431790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44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540432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6109200" y="190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147600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357192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12</v>
      </c>
      <c r="E3" s="3" t="s">
        <v>13</v>
      </c>
      <c r="F3" s="3" t="s">
        <v>14</v>
      </c>
      <c r="G3" s="3" t="s">
        <v>20</v>
      </c>
      <c r="H3" s="3" t="s">
        <v>16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customFormat="false" ht="15" hidden="false" customHeight="false" outlineLevel="0" collapsed="false">
      <c r="A5" s="3" t="s">
        <v>28</v>
      </c>
      <c r="B5" s="3" t="s">
        <v>29</v>
      </c>
      <c r="C5" s="3" t="s">
        <v>30</v>
      </c>
      <c r="D5" s="3" t="s">
        <v>31</v>
      </c>
      <c r="E5" s="3"/>
      <c r="F5" s="3" t="s">
        <v>32</v>
      </c>
      <c r="G5" s="3" t="s">
        <v>33</v>
      </c>
      <c r="H5" s="3" t="s">
        <v>34</v>
      </c>
    </row>
    <row r="6" customFormat="false" ht="15" hidden="false" customHeight="false" outlineLevel="0" collapsed="false">
      <c r="A6" s="3" t="s">
        <v>35</v>
      </c>
      <c r="B6" s="3" t="s">
        <v>36</v>
      </c>
      <c r="C6" s="3" t="s">
        <v>11</v>
      </c>
      <c r="D6" s="3" t="s">
        <v>37</v>
      </c>
      <c r="E6" s="3" t="s">
        <v>24</v>
      </c>
      <c r="F6" s="3" t="s">
        <v>38</v>
      </c>
      <c r="G6" s="3" t="s">
        <v>39</v>
      </c>
      <c r="H6" s="3" t="s">
        <v>40</v>
      </c>
    </row>
    <row r="7" customFormat="false" ht="15" hidden="false" customHeight="false" outlineLevel="0" collapsed="false">
      <c r="A7" s="3" t="s">
        <v>41</v>
      </c>
      <c r="B7" s="3" t="s">
        <v>42</v>
      </c>
      <c r="C7" s="3" t="s">
        <v>19</v>
      </c>
      <c r="D7" s="3" t="s">
        <v>31</v>
      </c>
      <c r="E7" s="3" t="s">
        <v>43</v>
      </c>
      <c r="F7" s="3" t="s">
        <v>32</v>
      </c>
      <c r="G7" s="3" t="s">
        <v>44</v>
      </c>
      <c r="H7" s="3" t="s">
        <v>45</v>
      </c>
    </row>
    <row r="8" customFormat="false" ht="15" hidden="false" customHeight="false" outlineLevel="0" collapsed="false">
      <c r="A8" s="3" t="s">
        <v>46</v>
      </c>
      <c r="B8" s="3" t="s">
        <v>47</v>
      </c>
      <c r="C8" s="3" t="s">
        <v>30</v>
      </c>
      <c r="D8" s="3" t="s">
        <v>48</v>
      </c>
      <c r="E8" s="3" t="s">
        <v>43</v>
      </c>
      <c r="F8" s="3" t="s">
        <v>49</v>
      </c>
      <c r="G8" s="3" t="s">
        <v>50</v>
      </c>
      <c r="H8" s="3" t="s">
        <v>34</v>
      </c>
    </row>
    <row r="9" customFormat="false" ht="15" hidden="false" customHeight="false" outlineLevel="0" collapsed="false">
      <c r="A9" s="3" t="s">
        <v>51</v>
      </c>
      <c r="B9" s="3" t="s">
        <v>52</v>
      </c>
      <c r="C9" s="3" t="s">
        <v>11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40</v>
      </c>
    </row>
    <row r="10" customFormat="false" ht="15" hidden="false" customHeight="false" outlineLevel="0" collapsed="false">
      <c r="A10" s="3" t="s">
        <v>57</v>
      </c>
      <c r="B10" s="3" t="s">
        <v>58</v>
      </c>
      <c r="C10" s="3" t="s">
        <v>59</v>
      </c>
      <c r="D10" s="3" t="s">
        <v>31</v>
      </c>
      <c r="E10" s="3" t="s">
        <v>43</v>
      </c>
      <c r="F10" s="3" t="s">
        <v>32</v>
      </c>
      <c r="G10" s="3" t="s">
        <v>60</v>
      </c>
      <c r="H10" s="3" t="s">
        <v>61</v>
      </c>
    </row>
    <row r="11" customFormat="false" ht="15" hidden="false" customHeight="false" outlineLevel="0" collapsed="false">
      <c r="A11" s="3" t="s">
        <v>62</v>
      </c>
      <c r="B11" s="3" t="s">
        <v>63</v>
      </c>
      <c r="C11" s="3" t="s">
        <v>59</v>
      </c>
      <c r="D11" s="3" t="s">
        <v>48</v>
      </c>
      <c r="E11" s="3" t="s">
        <v>43</v>
      </c>
      <c r="F11" s="3" t="s">
        <v>49</v>
      </c>
      <c r="G11" s="3" t="s">
        <v>64</v>
      </c>
      <c r="H11" s="3" t="s">
        <v>27</v>
      </c>
    </row>
    <row r="12" customFormat="false" ht="15" hidden="false" customHeight="false" outlineLevel="0" collapsed="false">
      <c r="A12" s="3" t="s">
        <v>65</v>
      </c>
      <c r="B12" s="3" t="s">
        <v>66</v>
      </c>
      <c r="C12" s="3" t="s">
        <v>19</v>
      </c>
      <c r="D12" s="3" t="s">
        <v>67</v>
      </c>
      <c r="E12" s="3" t="s">
        <v>13</v>
      </c>
      <c r="F12" s="3" t="s">
        <v>68</v>
      </c>
      <c r="G12" s="3" t="s">
        <v>69</v>
      </c>
      <c r="H12" s="3" t="s">
        <v>16</v>
      </c>
    </row>
    <row r="13" customFormat="false" ht="15" hidden="false" customHeight="false" outlineLevel="0" collapsed="false">
      <c r="A13" s="3" t="s">
        <v>70</v>
      </c>
      <c r="B13" s="3" t="s">
        <v>66</v>
      </c>
      <c r="C13" s="3" t="s">
        <v>30</v>
      </c>
      <c r="D13" s="3" t="s">
        <v>53</v>
      </c>
      <c r="E13" s="3" t="s">
        <v>54</v>
      </c>
      <c r="F13" s="3" t="s">
        <v>55</v>
      </c>
      <c r="G13" s="3" t="s">
        <v>71</v>
      </c>
      <c r="H13" s="3" t="s">
        <v>40</v>
      </c>
    </row>
    <row r="14" customFormat="false" ht="15" hidden="false" customHeight="false" outlineLevel="0" collapsed="false">
      <c r="A14" s="3" t="s">
        <v>72</v>
      </c>
      <c r="B14" s="3" t="s">
        <v>73</v>
      </c>
      <c r="C14" s="3" t="s">
        <v>19</v>
      </c>
      <c r="D14" s="3" t="s">
        <v>74</v>
      </c>
      <c r="E14" s="3" t="s">
        <v>13</v>
      </c>
      <c r="F14" s="3" t="s">
        <v>75</v>
      </c>
      <c r="G14" s="3" t="s">
        <v>76</v>
      </c>
      <c r="H14" s="3" t="s">
        <v>61</v>
      </c>
    </row>
    <row r="15" customFormat="false" ht="15" hidden="false" customHeight="false" outlineLevel="0" collapsed="false">
      <c r="A15" s="3" t="s">
        <v>77</v>
      </c>
      <c r="B15" s="3" t="s">
        <v>78</v>
      </c>
      <c r="C15" s="3" t="s">
        <v>11</v>
      </c>
      <c r="D15" s="3" t="s">
        <v>79</v>
      </c>
      <c r="E15" s="3" t="s">
        <v>80</v>
      </c>
      <c r="F15" s="3" t="s">
        <v>81</v>
      </c>
      <c r="G15" s="3" t="s">
        <v>82</v>
      </c>
      <c r="H15" s="3" t="s">
        <v>40</v>
      </c>
    </row>
    <row r="16" customFormat="false" ht="15" hidden="false" customHeight="false" outlineLevel="0" collapsed="false">
      <c r="A16" s="3" t="s">
        <v>83</v>
      </c>
      <c r="B16" s="3" t="s">
        <v>84</v>
      </c>
      <c r="C16" s="3" t="s">
        <v>19</v>
      </c>
      <c r="D16" s="3" t="s">
        <v>37</v>
      </c>
      <c r="E16" s="3" t="s">
        <v>24</v>
      </c>
      <c r="F16" s="3" t="s">
        <v>38</v>
      </c>
      <c r="G16" s="3" t="s">
        <v>85</v>
      </c>
      <c r="H16" s="3" t="s">
        <v>34</v>
      </c>
    </row>
    <row r="17" customFormat="false" ht="15" hidden="false" customHeight="false" outlineLevel="0" collapsed="false">
      <c r="A17" s="3" t="s">
        <v>86</v>
      </c>
      <c r="B17" s="3" t="s">
        <v>87</v>
      </c>
      <c r="C17" s="3" t="s">
        <v>11</v>
      </c>
      <c r="D17" s="3" t="s">
        <v>53</v>
      </c>
      <c r="E17" s="3" t="s">
        <v>54</v>
      </c>
      <c r="F17" s="3" t="s">
        <v>55</v>
      </c>
      <c r="G17" s="3" t="s">
        <v>88</v>
      </c>
      <c r="H17" s="3" t="s">
        <v>61</v>
      </c>
    </row>
    <row r="18" customFormat="false" ht="15" hidden="false" customHeight="false" outlineLevel="0" collapsed="false">
      <c r="A18" s="3" t="s">
        <v>89</v>
      </c>
      <c r="B18" s="3" t="s">
        <v>90</v>
      </c>
      <c r="C18" s="3" t="s">
        <v>30</v>
      </c>
      <c r="D18" s="3" t="s">
        <v>74</v>
      </c>
      <c r="E18" s="3" t="s">
        <v>13</v>
      </c>
      <c r="F18" s="3" t="s">
        <v>75</v>
      </c>
      <c r="G18" s="3" t="s">
        <v>91</v>
      </c>
      <c r="H18" s="3" t="s">
        <v>34</v>
      </c>
    </row>
    <row r="19" customFormat="false" ht="15" hidden="false" customHeight="false" outlineLevel="0" collapsed="false">
      <c r="A19" s="3" t="s">
        <v>92</v>
      </c>
      <c r="B19" s="3" t="s">
        <v>93</v>
      </c>
      <c r="C19" s="3" t="s">
        <v>30</v>
      </c>
      <c r="D19" s="3" t="s">
        <v>74</v>
      </c>
      <c r="E19" s="3" t="s">
        <v>13</v>
      </c>
      <c r="F19" s="3" t="s">
        <v>75</v>
      </c>
      <c r="G19" s="3" t="s">
        <v>94</v>
      </c>
      <c r="H19" s="3" t="s">
        <v>45</v>
      </c>
    </row>
    <row r="20" customFormat="false" ht="15" hidden="false" customHeight="false" outlineLevel="0" collapsed="false">
      <c r="A20" s="3" t="s">
        <v>95</v>
      </c>
      <c r="B20" s="3" t="s">
        <v>96</v>
      </c>
      <c r="C20" s="3" t="s">
        <v>59</v>
      </c>
      <c r="D20" s="3" t="s">
        <v>37</v>
      </c>
      <c r="E20" s="3" t="s">
        <v>24</v>
      </c>
      <c r="F20" s="3" t="s">
        <v>38</v>
      </c>
      <c r="G20" s="3" t="s">
        <v>97</v>
      </c>
      <c r="H20" s="3" t="s">
        <v>61</v>
      </c>
    </row>
    <row r="21" customFormat="false" ht="15" hidden="false" customHeight="false" outlineLevel="0" collapsed="false">
      <c r="A21" s="3" t="s">
        <v>98</v>
      </c>
      <c r="B21" s="3" t="s">
        <v>99</v>
      </c>
      <c r="C21" s="3" t="s">
        <v>59</v>
      </c>
      <c r="D21" s="3" t="s">
        <v>12</v>
      </c>
      <c r="E21" s="3" t="s">
        <v>13</v>
      </c>
      <c r="F21" s="3" t="s">
        <v>14</v>
      </c>
      <c r="G21" s="3" t="s">
        <v>100</v>
      </c>
      <c r="H21" s="3" t="s">
        <v>16</v>
      </c>
    </row>
    <row r="22" customFormat="false" ht="15" hidden="false" customHeight="false" outlineLevel="0" collapsed="false">
      <c r="A22" s="3" t="s">
        <v>101</v>
      </c>
      <c r="B22" s="3" t="s">
        <v>102</v>
      </c>
      <c r="C22" s="3" t="s">
        <v>19</v>
      </c>
      <c r="D22" s="3" t="s">
        <v>103</v>
      </c>
      <c r="E22" s="3" t="s">
        <v>43</v>
      </c>
      <c r="F22" s="3" t="s">
        <v>104</v>
      </c>
      <c r="G22" s="3" t="s">
        <v>105</v>
      </c>
      <c r="H22" s="3" t="s">
        <v>34</v>
      </c>
    </row>
    <row r="23" customFormat="false" ht="15" hidden="false" customHeight="false" outlineLevel="0" collapsed="false">
      <c r="A23" s="3" t="s">
        <v>101</v>
      </c>
      <c r="B23" s="3" t="s">
        <v>102</v>
      </c>
      <c r="C23" s="3" t="s">
        <v>19</v>
      </c>
      <c r="D23" s="3" t="s">
        <v>103</v>
      </c>
      <c r="E23" s="3" t="s">
        <v>43</v>
      </c>
      <c r="F23" s="3" t="s">
        <v>104</v>
      </c>
      <c r="G23" s="3" t="s">
        <v>105</v>
      </c>
      <c r="H23" s="3" t="s">
        <v>34</v>
      </c>
    </row>
    <row r="24" customFormat="false" ht="15" hidden="false" customHeight="false" outlineLevel="0" collapsed="false">
      <c r="A24" s="3" t="s">
        <v>106</v>
      </c>
      <c r="B24" s="3" t="s">
        <v>96</v>
      </c>
      <c r="C24" s="3" t="s">
        <v>19</v>
      </c>
      <c r="D24" s="3" t="s">
        <v>67</v>
      </c>
      <c r="E24" s="3" t="s">
        <v>13</v>
      </c>
      <c r="F24" s="3" t="s">
        <v>68</v>
      </c>
      <c r="G24" s="3" t="s">
        <v>107</v>
      </c>
      <c r="H24" s="3" t="s">
        <v>27</v>
      </c>
    </row>
    <row r="25" customFormat="false" ht="15" hidden="false" customHeight="false" outlineLevel="0" collapsed="false">
      <c r="A25" s="3" t="s">
        <v>106</v>
      </c>
      <c r="B25" s="3" t="s">
        <v>96</v>
      </c>
      <c r="C25" s="3" t="s">
        <v>19</v>
      </c>
      <c r="D25" s="3" t="s">
        <v>67</v>
      </c>
      <c r="E25" s="3" t="s">
        <v>13</v>
      </c>
      <c r="F25" s="3" t="s">
        <v>68</v>
      </c>
      <c r="G25" s="3" t="s">
        <v>107</v>
      </c>
      <c r="H25" s="3" t="s">
        <v>27</v>
      </c>
    </row>
    <row r="26" customFormat="false" ht="15" hidden="false" customHeight="false" outlineLevel="0" collapsed="false">
      <c r="A26" s="3" t="s">
        <v>108</v>
      </c>
      <c r="B26" s="3" t="s">
        <v>109</v>
      </c>
      <c r="C26" s="3" t="s">
        <v>59</v>
      </c>
      <c r="D26" s="3" t="s">
        <v>110</v>
      </c>
      <c r="E26" s="3" t="s">
        <v>24</v>
      </c>
      <c r="F26" s="3" t="s">
        <v>111</v>
      </c>
      <c r="G26" s="3" t="s">
        <v>112</v>
      </c>
      <c r="H26" s="3" t="s">
        <v>61</v>
      </c>
    </row>
    <row r="27" customFormat="false" ht="15" hidden="false" customHeight="false" outlineLevel="0" collapsed="false">
      <c r="A27" s="3" t="s">
        <v>113</v>
      </c>
      <c r="B27" s="3" t="s">
        <v>114</v>
      </c>
      <c r="C27" s="3" t="s">
        <v>30</v>
      </c>
      <c r="D27" s="3" t="s">
        <v>31</v>
      </c>
      <c r="E27" s="3" t="s">
        <v>43</v>
      </c>
      <c r="F27" s="3" t="s">
        <v>32</v>
      </c>
      <c r="G27" s="3" t="s">
        <v>115</v>
      </c>
      <c r="H27" s="3" t="s">
        <v>16</v>
      </c>
    </row>
    <row r="28" customFormat="false" ht="15" hidden="false" customHeight="false" outlineLevel="0" collapsed="false">
      <c r="A28" s="3" t="s">
        <v>116</v>
      </c>
      <c r="B28" s="3" t="s">
        <v>117</v>
      </c>
      <c r="C28" s="3" t="s">
        <v>30</v>
      </c>
      <c r="D28" s="3" t="s">
        <v>53</v>
      </c>
      <c r="E28" s="3" t="s">
        <v>54</v>
      </c>
      <c r="F28" s="3" t="s">
        <v>55</v>
      </c>
      <c r="G28" s="3" t="s">
        <v>118</v>
      </c>
      <c r="H28" s="3" t="s">
        <v>16</v>
      </c>
    </row>
    <row r="29" customFormat="false" ht="15" hidden="false" customHeight="false" outlineLevel="0" collapsed="false">
      <c r="A29" s="3" t="s">
        <v>119</v>
      </c>
      <c r="B29" s="3" t="s">
        <v>120</v>
      </c>
      <c r="C29" s="3" t="s">
        <v>30</v>
      </c>
      <c r="D29" s="3" t="s">
        <v>53</v>
      </c>
      <c r="E29" s="3" t="s">
        <v>54</v>
      </c>
      <c r="F29" s="3" t="s">
        <v>55</v>
      </c>
      <c r="G29" s="3" t="s">
        <v>121</v>
      </c>
      <c r="H29" s="3" t="s">
        <v>34</v>
      </c>
    </row>
    <row r="30" customFormat="false" ht="15" hidden="false" customHeight="false" outlineLevel="0" collapsed="false">
      <c r="A30" s="3" t="s">
        <v>122</v>
      </c>
      <c r="B30" s="3" t="s">
        <v>123</v>
      </c>
      <c r="C30" s="3" t="s">
        <v>11</v>
      </c>
      <c r="D30" s="3" t="s">
        <v>31</v>
      </c>
      <c r="E30" s="3" t="s">
        <v>43</v>
      </c>
      <c r="F30" s="3" t="s">
        <v>32</v>
      </c>
      <c r="G30" s="3" t="s">
        <v>124</v>
      </c>
      <c r="H30" s="3" t="s">
        <v>40</v>
      </c>
    </row>
    <row r="31" customFormat="false" ht="15" hidden="false" customHeight="false" outlineLevel="0" collapsed="false">
      <c r="A31" s="3" t="s">
        <v>122</v>
      </c>
      <c r="B31" s="3" t="s">
        <v>123</v>
      </c>
      <c r="C31" s="3" t="s">
        <v>11</v>
      </c>
      <c r="D31" s="3" t="s">
        <v>31</v>
      </c>
      <c r="E31" s="3" t="s">
        <v>43</v>
      </c>
      <c r="F31" s="3" t="s">
        <v>32</v>
      </c>
      <c r="G31" s="3" t="s">
        <v>124</v>
      </c>
      <c r="H31" s="3" t="s">
        <v>40</v>
      </c>
    </row>
    <row r="32" customFormat="false" ht="15" hidden="false" customHeight="false" outlineLevel="0" collapsed="false">
      <c r="A32" s="3" t="s">
        <v>125</v>
      </c>
      <c r="B32" s="3" t="s">
        <v>126</v>
      </c>
      <c r="C32" s="3" t="s">
        <v>30</v>
      </c>
      <c r="D32" s="3" t="s">
        <v>53</v>
      </c>
      <c r="E32" s="3" t="s">
        <v>54</v>
      </c>
      <c r="F32" s="3" t="s">
        <v>55</v>
      </c>
      <c r="G32" s="3" t="s">
        <v>127</v>
      </c>
      <c r="H32" s="3" t="s">
        <v>27</v>
      </c>
    </row>
    <row r="33" customFormat="false" ht="15" hidden="false" customHeight="false" outlineLevel="0" collapsed="false">
      <c r="A33" s="3" t="s">
        <v>128</v>
      </c>
      <c r="B33" s="3" t="s">
        <v>129</v>
      </c>
      <c r="C33" s="3" t="s">
        <v>11</v>
      </c>
      <c r="D33" s="3" t="s">
        <v>130</v>
      </c>
      <c r="E33" s="3" t="s">
        <v>80</v>
      </c>
      <c r="F33" s="3" t="s">
        <v>131</v>
      </c>
      <c r="G33" s="3" t="s">
        <v>132</v>
      </c>
      <c r="H33" s="3" t="s">
        <v>61</v>
      </c>
    </row>
    <row r="34" customFormat="false" ht="15" hidden="false" customHeight="false" outlineLevel="0" collapsed="false">
      <c r="A34" s="3" t="s">
        <v>133</v>
      </c>
      <c r="B34" s="3" t="s">
        <v>134</v>
      </c>
      <c r="C34" s="3" t="s">
        <v>11</v>
      </c>
      <c r="D34" s="3" t="s">
        <v>67</v>
      </c>
      <c r="E34" s="3" t="s">
        <v>13</v>
      </c>
      <c r="F34" s="3" t="s">
        <v>68</v>
      </c>
      <c r="G34" s="3" t="s">
        <v>135</v>
      </c>
      <c r="H34" s="3" t="s">
        <v>61</v>
      </c>
    </row>
    <row r="35" customFormat="false" ht="15" hidden="false" customHeight="false" outlineLevel="0" collapsed="false">
      <c r="A35" s="3" t="s">
        <v>136</v>
      </c>
      <c r="B35" s="3" t="s">
        <v>137</v>
      </c>
      <c r="C35" s="3" t="s">
        <v>59</v>
      </c>
      <c r="D35" s="3" t="s">
        <v>138</v>
      </c>
      <c r="E35" s="3" t="s">
        <v>80</v>
      </c>
      <c r="F35" s="3" t="s">
        <v>139</v>
      </c>
      <c r="G35" s="3" t="s">
        <v>140</v>
      </c>
      <c r="H35" s="3" t="s">
        <v>16</v>
      </c>
    </row>
    <row r="36" customFormat="false" ht="15" hidden="false" customHeight="false" outlineLevel="0" collapsed="false">
      <c r="A36" s="3" t="s">
        <v>136</v>
      </c>
      <c r="B36" s="3" t="s">
        <v>137</v>
      </c>
      <c r="C36" s="3" t="s">
        <v>59</v>
      </c>
      <c r="D36" s="3" t="s">
        <v>138</v>
      </c>
      <c r="E36" s="3" t="s">
        <v>80</v>
      </c>
      <c r="F36" s="3" t="s">
        <v>139</v>
      </c>
      <c r="G36" s="3" t="s">
        <v>140</v>
      </c>
      <c r="H36" s="3" t="s">
        <v>16</v>
      </c>
    </row>
    <row r="37" customFormat="false" ht="15" hidden="false" customHeight="false" outlineLevel="0" collapsed="false">
      <c r="A37" s="3" t="s">
        <v>141</v>
      </c>
      <c r="B37" s="3" t="s">
        <v>142</v>
      </c>
      <c r="C37" s="3" t="s">
        <v>19</v>
      </c>
      <c r="D37" s="3" t="s">
        <v>138</v>
      </c>
      <c r="E37" s="3" t="s">
        <v>80</v>
      </c>
      <c r="F37" s="3" t="s">
        <v>139</v>
      </c>
      <c r="G37" s="3" t="s">
        <v>143</v>
      </c>
      <c r="H37" s="3" t="s">
        <v>45</v>
      </c>
    </row>
    <row r="38" customFormat="false" ht="15" hidden="false" customHeight="false" outlineLevel="0" collapsed="false">
      <c r="A38" s="3" t="s">
        <v>144</v>
      </c>
      <c r="B38" s="3" t="s">
        <v>63</v>
      </c>
      <c r="C38" s="3" t="s">
        <v>11</v>
      </c>
      <c r="D38" s="3" t="s">
        <v>79</v>
      </c>
      <c r="E38" s="3" t="s">
        <v>80</v>
      </c>
      <c r="F38" s="3" t="s">
        <v>81</v>
      </c>
      <c r="G38" s="3" t="s">
        <v>145</v>
      </c>
      <c r="H38" s="3" t="s">
        <v>45</v>
      </c>
    </row>
    <row r="39" customFormat="false" ht="15" hidden="false" customHeight="false" outlineLevel="0" collapsed="false">
      <c r="A39" s="3" t="s">
        <v>146</v>
      </c>
      <c r="B39" s="3" t="s">
        <v>66</v>
      </c>
      <c r="C39" s="3" t="s">
        <v>19</v>
      </c>
      <c r="D39" s="3" t="s">
        <v>74</v>
      </c>
      <c r="E39" s="3" t="s">
        <v>13</v>
      </c>
      <c r="F39" s="3" t="s">
        <v>75</v>
      </c>
      <c r="G39" s="3" t="s">
        <v>147</v>
      </c>
      <c r="H39" s="3" t="s">
        <v>40</v>
      </c>
    </row>
    <row r="40" customFormat="false" ht="15" hidden="false" customHeight="false" outlineLevel="0" collapsed="false">
      <c r="A40" s="3" t="s">
        <v>148</v>
      </c>
      <c r="B40" s="3" t="s">
        <v>149</v>
      </c>
      <c r="C40" s="3" t="s">
        <v>19</v>
      </c>
      <c r="D40" s="3" t="s">
        <v>150</v>
      </c>
      <c r="E40" s="3" t="s">
        <v>80</v>
      </c>
      <c r="F40" s="3" t="s">
        <v>151</v>
      </c>
      <c r="G40" s="3" t="s">
        <v>152</v>
      </c>
      <c r="H40" s="3" t="s">
        <v>16</v>
      </c>
    </row>
    <row r="41" customFormat="false" ht="15" hidden="false" customHeight="false" outlineLevel="0" collapsed="false">
      <c r="A41" s="3" t="s">
        <v>153</v>
      </c>
      <c r="B41" s="3" t="s">
        <v>154</v>
      </c>
      <c r="C41" s="3" t="s">
        <v>19</v>
      </c>
      <c r="D41" s="3" t="s">
        <v>138</v>
      </c>
      <c r="E41" s="3" t="s">
        <v>80</v>
      </c>
      <c r="F41" s="3" t="s">
        <v>139</v>
      </c>
      <c r="G41" s="3" t="s">
        <v>155</v>
      </c>
      <c r="H41" s="3" t="s">
        <v>45</v>
      </c>
    </row>
    <row r="42" customFormat="false" ht="15" hidden="false" customHeight="false" outlineLevel="0" collapsed="false">
      <c r="A42" s="3" t="s">
        <v>156</v>
      </c>
      <c r="B42" s="3" t="s">
        <v>157</v>
      </c>
      <c r="C42" s="3" t="s">
        <v>30</v>
      </c>
      <c r="D42" s="3" t="s">
        <v>150</v>
      </c>
      <c r="E42" s="3" t="s">
        <v>80</v>
      </c>
      <c r="F42" s="3" t="s">
        <v>151</v>
      </c>
      <c r="G42" s="3" t="s">
        <v>158</v>
      </c>
      <c r="H42" s="3" t="s">
        <v>40</v>
      </c>
    </row>
    <row r="43" customFormat="false" ht="15" hidden="false" customHeight="false" outlineLevel="0" collapsed="false">
      <c r="A43" s="3" t="s">
        <v>159</v>
      </c>
      <c r="B43" s="3" t="s">
        <v>160</v>
      </c>
      <c r="C43" s="3" t="s">
        <v>11</v>
      </c>
      <c r="D43" s="3" t="s">
        <v>23</v>
      </c>
      <c r="E43" s="3" t="s">
        <v>24</v>
      </c>
      <c r="F43" s="3" t="s">
        <v>25</v>
      </c>
      <c r="G43" s="3" t="s">
        <v>161</v>
      </c>
      <c r="H43" s="3" t="s">
        <v>27</v>
      </c>
    </row>
    <row r="44" customFormat="false" ht="15" hidden="false" customHeight="false" outlineLevel="0" collapsed="false">
      <c r="A44" s="3" t="s">
        <v>162</v>
      </c>
      <c r="B44" s="3" t="s">
        <v>163</v>
      </c>
      <c r="C44" s="3" t="s">
        <v>11</v>
      </c>
      <c r="D44" s="3" t="s">
        <v>48</v>
      </c>
      <c r="E44" s="3" t="s">
        <v>43</v>
      </c>
      <c r="F44" s="3" t="s">
        <v>49</v>
      </c>
      <c r="G44" s="3" t="s">
        <v>164</v>
      </c>
      <c r="H44" s="3" t="s">
        <v>34</v>
      </c>
    </row>
    <row r="45" customFormat="false" ht="15" hidden="false" customHeight="false" outlineLevel="0" collapsed="false">
      <c r="A45" s="3" t="s">
        <v>162</v>
      </c>
      <c r="B45" s="3" t="s">
        <v>163</v>
      </c>
      <c r="C45" s="3" t="s">
        <v>11</v>
      </c>
      <c r="D45" s="3" t="s">
        <v>48</v>
      </c>
      <c r="E45" s="3" t="s">
        <v>43</v>
      </c>
      <c r="F45" s="3" t="s">
        <v>49</v>
      </c>
      <c r="G45" s="3" t="s">
        <v>164</v>
      </c>
      <c r="H45" s="3" t="s">
        <v>34</v>
      </c>
    </row>
    <row r="46" customFormat="false" ht="15" hidden="false" customHeight="false" outlineLevel="0" collapsed="false">
      <c r="A46" s="3" t="s">
        <v>165</v>
      </c>
      <c r="B46" s="3" t="s">
        <v>166</v>
      </c>
      <c r="C46" s="3" t="s">
        <v>19</v>
      </c>
      <c r="D46" s="3" t="s">
        <v>37</v>
      </c>
      <c r="E46" s="3" t="s">
        <v>24</v>
      </c>
      <c r="F46" s="3" t="s">
        <v>38</v>
      </c>
      <c r="G46" s="3" t="s">
        <v>167</v>
      </c>
      <c r="H46" s="3" t="s">
        <v>61</v>
      </c>
    </row>
    <row r="47" customFormat="false" ht="15" hidden="false" customHeight="false" outlineLevel="0" collapsed="false">
      <c r="A47" s="3" t="s">
        <v>168</v>
      </c>
      <c r="B47" s="3" t="s">
        <v>169</v>
      </c>
      <c r="C47" s="3" t="s">
        <v>11</v>
      </c>
      <c r="D47" s="3" t="s">
        <v>48</v>
      </c>
      <c r="E47" s="3" t="s">
        <v>43</v>
      </c>
      <c r="F47" s="3" t="s">
        <v>49</v>
      </c>
      <c r="G47" s="3" t="s">
        <v>170</v>
      </c>
      <c r="H47" s="3" t="s">
        <v>45</v>
      </c>
    </row>
    <row r="48" customFormat="false" ht="15" hidden="false" customHeight="false" outlineLevel="0" collapsed="false">
      <c r="A48" s="3" t="s">
        <v>171</v>
      </c>
      <c r="B48" s="3" t="s">
        <v>172</v>
      </c>
      <c r="C48" s="3" t="s">
        <v>19</v>
      </c>
      <c r="D48" s="3" t="s">
        <v>23</v>
      </c>
      <c r="E48" s="3"/>
      <c r="F48" s="3" t="s">
        <v>25</v>
      </c>
      <c r="G48" s="3" t="s">
        <v>173</v>
      </c>
      <c r="H48" s="3" t="s">
        <v>45</v>
      </c>
    </row>
    <row r="49" customFormat="false" ht="15" hidden="false" customHeight="false" outlineLevel="0" collapsed="false">
      <c r="A49" s="3" t="s">
        <v>174</v>
      </c>
      <c r="B49" s="3" t="s">
        <v>142</v>
      </c>
      <c r="C49" s="3" t="s">
        <v>59</v>
      </c>
      <c r="D49" s="3" t="s">
        <v>175</v>
      </c>
      <c r="E49" s="3" t="s">
        <v>54</v>
      </c>
      <c r="F49" s="3" t="s">
        <v>176</v>
      </c>
      <c r="G49" s="3" t="s">
        <v>177</v>
      </c>
      <c r="H49" s="3" t="s">
        <v>27</v>
      </c>
    </row>
    <row r="50" customFormat="false" ht="15" hidden="false" customHeight="false" outlineLevel="0" collapsed="false">
      <c r="A50" s="3" t="s">
        <v>178</v>
      </c>
      <c r="B50" s="3" t="s">
        <v>179</v>
      </c>
      <c r="C50" s="3" t="s">
        <v>11</v>
      </c>
      <c r="D50" s="3" t="s">
        <v>74</v>
      </c>
      <c r="E50" s="3" t="s">
        <v>13</v>
      </c>
      <c r="F50" s="3" t="s">
        <v>75</v>
      </c>
      <c r="G50" s="3" t="s">
        <v>180</v>
      </c>
      <c r="H50" s="3" t="s">
        <v>27</v>
      </c>
    </row>
    <row r="51" customFormat="false" ht="15" hidden="false" customHeight="false" outlineLevel="0" collapsed="false">
      <c r="A51" s="3" t="s">
        <v>178</v>
      </c>
      <c r="B51" s="3" t="s">
        <v>179</v>
      </c>
      <c r="C51" s="3" t="s">
        <v>11</v>
      </c>
      <c r="D51" s="3" t="s">
        <v>74</v>
      </c>
      <c r="E51" s="3" t="s">
        <v>13</v>
      </c>
      <c r="F51" s="3" t="s">
        <v>75</v>
      </c>
      <c r="G51" s="3" t="s">
        <v>180</v>
      </c>
      <c r="H51" s="3" t="s">
        <v>27</v>
      </c>
    </row>
    <row r="52" customFormat="false" ht="15" hidden="false" customHeight="false" outlineLevel="0" collapsed="false">
      <c r="A52" s="3" t="s">
        <v>181</v>
      </c>
      <c r="B52" s="3" t="s">
        <v>182</v>
      </c>
      <c r="C52" s="3" t="s">
        <v>30</v>
      </c>
      <c r="D52" s="3" t="s">
        <v>130</v>
      </c>
      <c r="E52" s="3" t="s">
        <v>80</v>
      </c>
      <c r="F52" s="3" t="s">
        <v>131</v>
      </c>
      <c r="G52" s="3" t="s">
        <v>183</v>
      </c>
      <c r="H52" s="3" t="s">
        <v>61</v>
      </c>
    </row>
    <row r="53" customFormat="false" ht="15" hidden="false" customHeight="false" outlineLevel="0" collapsed="false">
      <c r="A53" s="3" t="s">
        <v>184</v>
      </c>
      <c r="B53" s="3" t="s">
        <v>185</v>
      </c>
      <c r="C53" s="3" t="s">
        <v>30</v>
      </c>
      <c r="D53" s="3" t="s">
        <v>79</v>
      </c>
      <c r="E53" s="3" t="s">
        <v>80</v>
      </c>
      <c r="F53" s="3" t="s">
        <v>81</v>
      </c>
      <c r="G53" s="3" t="s">
        <v>186</v>
      </c>
      <c r="H53" s="3" t="s">
        <v>34</v>
      </c>
    </row>
    <row r="54" customFormat="false" ht="15" hidden="false" customHeight="false" outlineLevel="0" collapsed="false">
      <c r="A54" s="3" t="s">
        <v>187</v>
      </c>
      <c r="B54" s="3" t="s">
        <v>142</v>
      </c>
      <c r="C54" s="3" t="s">
        <v>11</v>
      </c>
      <c r="D54" s="3" t="s">
        <v>130</v>
      </c>
      <c r="E54" s="3" t="s">
        <v>80</v>
      </c>
      <c r="F54" s="3" t="s">
        <v>131</v>
      </c>
      <c r="G54" s="3" t="s">
        <v>188</v>
      </c>
      <c r="H54" s="3" t="s">
        <v>61</v>
      </c>
    </row>
    <row r="55" customFormat="false" ht="15" hidden="false" customHeight="false" outlineLevel="0" collapsed="false">
      <c r="A55" s="3" t="s">
        <v>189</v>
      </c>
      <c r="B55" s="3" t="s">
        <v>190</v>
      </c>
      <c r="C55" s="3" t="s">
        <v>59</v>
      </c>
      <c r="D55" s="3" t="s">
        <v>130</v>
      </c>
      <c r="E55" s="3" t="s">
        <v>80</v>
      </c>
      <c r="F55" s="3" t="s">
        <v>131</v>
      </c>
      <c r="G55" s="3" t="s">
        <v>191</v>
      </c>
      <c r="H55" s="3" t="s">
        <v>61</v>
      </c>
    </row>
    <row r="56" customFormat="false" ht="15" hidden="false" customHeight="false" outlineLevel="0" collapsed="false">
      <c r="A56" s="3" t="s">
        <v>192</v>
      </c>
      <c r="B56" s="3" t="s">
        <v>193</v>
      </c>
      <c r="C56" s="3" t="s">
        <v>11</v>
      </c>
      <c r="D56" s="3" t="s">
        <v>37</v>
      </c>
      <c r="E56" s="3" t="s">
        <v>24</v>
      </c>
      <c r="F56" s="3" t="s">
        <v>38</v>
      </c>
      <c r="G56" s="3" t="s">
        <v>194</v>
      </c>
      <c r="H56" s="3" t="s">
        <v>40</v>
      </c>
    </row>
    <row r="57" customFormat="false" ht="15" hidden="false" customHeight="false" outlineLevel="0" collapsed="false">
      <c r="A57" s="3" t="s">
        <v>195</v>
      </c>
      <c r="B57" s="3" t="s">
        <v>196</v>
      </c>
      <c r="C57" s="3" t="s">
        <v>30</v>
      </c>
      <c r="D57" s="3" t="s">
        <v>150</v>
      </c>
      <c r="E57" s="3" t="s">
        <v>80</v>
      </c>
      <c r="F57" s="3" t="s">
        <v>151</v>
      </c>
      <c r="G57" s="3" t="s">
        <v>197</v>
      </c>
      <c r="H57" s="3" t="s">
        <v>34</v>
      </c>
    </row>
    <row r="58" customFormat="false" ht="15" hidden="false" customHeight="false" outlineLevel="0" collapsed="false">
      <c r="A58" s="3" t="s">
        <v>198</v>
      </c>
      <c r="B58" s="3" t="s">
        <v>199</v>
      </c>
      <c r="C58" s="3" t="s">
        <v>59</v>
      </c>
      <c r="D58" s="3" t="s">
        <v>53</v>
      </c>
      <c r="E58" s="3" t="s">
        <v>54</v>
      </c>
      <c r="F58" s="3" t="s">
        <v>55</v>
      </c>
      <c r="G58" s="3" t="s">
        <v>200</v>
      </c>
      <c r="H58" s="3" t="s">
        <v>40</v>
      </c>
    </row>
    <row r="59" customFormat="false" ht="15" hidden="false" customHeight="false" outlineLevel="0" collapsed="false">
      <c r="A59" s="3" t="s">
        <v>201</v>
      </c>
      <c r="B59" s="3" t="s">
        <v>202</v>
      </c>
      <c r="C59" s="3"/>
      <c r="D59" s="3" t="s">
        <v>53</v>
      </c>
      <c r="E59" s="3" t="s">
        <v>54</v>
      </c>
      <c r="F59" s="3" t="s">
        <v>55</v>
      </c>
      <c r="G59" s="3" t="s">
        <v>203</v>
      </c>
      <c r="H59" s="3" t="s">
        <v>45</v>
      </c>
    </row>
    <row r="60" customFormat="false" ht="15" hidden="false" customHeight="false" outlineLevel="0" collapsed="false">
      <c r="A60" s="3" t="s">
        <v>204</v>
      </c>
      <c r="B60" s="3" t="s">
        <v>205</v>
      </c>
      <c r="C60" s="3" t="s">
        <v>19</v>
      </c>
      <c r="D60" s="3" t="s">
        <v>130</v>
      </c>
      <c r="E60" s="3" t="s">
        <v>80</v>
      </c>
      <c r="F60" s="3" t="s">
        <v>131</v>
      </c>
      <c r="G60" s="3" t="s">
        <v>206</v>
      </c>
      <c r="H60" s="3" t="s">
        <v>45</v>
      </c>
    </row>
    <row r="61" customFormat="false" ht="15" hidden="false" customHeight="false" outlineLevel="0" collapsed="false">
      <c r="A61" s="3" t="s">
        <v>207</v>
      </c>
      <c r="B61" s="3" t="s">
        <v>190</v>
      </c>
      <c r="C61" s="3" t="s">
        <v>30</v>
      </c>
      <c r="D61" s="3" t="s">
        <v>37</v>
      </c>
      <c r="E61" s="3" t="s">
        <v>24</v>
      </c>
      <c r="F61" s="3" t="s">
        <v>38</v>
      </c>
      <c r="G61" s="3" t="s">
        <v>208</v>
      </c>
      <c r="H61" s="3" t="s">
        <v>27</v>
      </c>
    </row>
    <row r="62" customFormat="false" ht="15" hidden="false" customHeight="false" outlineLevel="0" collapsed="false">
      <c r="A62" s="3" t="s">
        <v>209</v>
      </c>
      <c r="B62" s="3" t="s">
        <v>210</v>
      </c>
      <c r="C62" s="3" t="s">
        <v>30</v>
      </c>
      <c r="D62" s="3" t="s">
        <v>110</v>
      </c>
      <c r="E62" s="3" t="s">
        <v>24</v>
      </c>
      <c r="F62" s="3" t="s">
        <v>111</v>
      </c>
      <c r="G62" s="3" t="s">
        <v>211</v>
      </c>
      <c r="H62" s="3" t="s">
        <v>16</v>
      </c>
    </row>
    <row r="63" customFormat="false" ht="15" hidden="false" customHeight="false" outlineLevel="0" collapsed="false">
      <c r="A63" s="3" t="s">
        <v>212</v>
      </c>
      <c r="B63" s="3" t="s">
        <v>213</v>
      </c>
      <c r="C63" s="3" t="s">
        <v>19</v>
      </c>
      <c r="D63" s="3" t="s">
        <v>12</v>
      </c>
      <c r="E63" s="3" t="s">
        <v>13</v>
      </c>
      <c r="F63" s="3" t="s">
        <v>14</v>
      </c>
      <c r="G63" s="3" t="s">
        <v>214</v>
      </c>
      <c r="H63" s="3" t="s">
        <v>34</v>
      </c>
    </row>
    <row r="64" customFormat="false" ht="15" hidden="false" customHeight="false" outlineLevel="0" collapsed="false">
      <c r="A64" s="3" t="s">
        <v>215</v>
      </c>
      <c r="B64" s="3" t="s">
        <v>216</v>
      </c>
      <c r="C64" s="3" t="s">
        <v>11</v>
      </c>
      <c r="D64" s="3" t="s">
        <v>130</v>
      </c>
      <c r="E64" s="3" t="s">
        <v>80</v>
      </c>
      <c r="F64" s="3" t="s">
        <v>131</v>
      </c>
      <c r="G64" s="3" t="s">
        <v>217</v>
      </c>
      <c r="H64" s="3" t="s">
        <v>61</v>
      </c>
    </row>
    <row r="65" customFormat="false" ht="15" hidden="false" customHeight="false" outlineLevel="0" collapsed="false">
      <c r="A65" s="3" t="s">
        <v>218</v>
      </c>
      <c r="B65" s="3" t="s">
        <v>219</v>
      </c>
      <c r="C65" s="3" t="s">
        <v>11</v>
      </c>
      <c r="D65" s="3" t="s">
        <v>53</v>
      </c>
      <c r="E65" s="3" t="s">
        <v>54</v>
      </c>
      <c r="F65" s="3" t="s">
        <v>55</v>
      </c>
      <c r="G65" s="3" t="s">
        <v>220</v>
      </c>
      <c r="H65" s="3" t="s">
        <v>45</v>
      </c>
    </row>
    <row r="66" customFormat="false" ht="15" hidden="false" customHeight="false" outlineLevel="0" collapsed="false">
      <c r="A66" s="3" t="s">
        <v>221</v>
      </c>
      <c r="B66" s="3" t="s">
        <v>222</v>
      </c>
      <c r="C66" s="3" t="s">
        <v>11</v>
      </c>
      <c r="D66" s="3" t="s">
        <v>79</v>
      </c>
      <c r="E66" s="3" t="s">
        <v>80</v>
      </c>
      <c r="F66" s="3" t="s">
        <v>81</v>
      </c>
      <c r="G66" s="3" t="s">
        <v>223</v>
      </c>
      <c r="H66" s="3" t="s">
        <v>16</v>
      </c>
    </row>
    <row r="67" customFormat="false" ht="15" hidden="false" customHeight="false" outlineLevel="0" collapsed="false">
      <c r="A67" s="3" t="s">
        <v>224</v>
      </c>
      <c r="B67" s="3" t="s">
        <v>225</v>
      </c>
      <c r="C67" s="3" t="s">
        <v>11</v>
      </c>
      <c r="D67" s="3" t="s">
        <v>31</v>
      </c>
      <c r="E67" s="3" t="s">
        <v>43</v>
      </c>
      <c r="F67" s="3" t="s">
        <v>32</v>
      </c>
      <c r="G67" s="3" t="s">
        <v>226</v>
      </c>
      <c r="H67" s="3" t="s">
        <v>45</v>
      </c>
    </row>
    <row r="68" customFormat="false" ht="15" hidden="false" customHeight="false" outlineLevel="0" collapsed="false">
      <c r="A68" s="3" t="s">
        <v>227</v>
      </c>
      <c r="B68" s="3" t="s">
        <v>228</v>
      </c>
      <c r="C68" s="3" t="s">
        <v>19</v>
      </c>
      <c r="D68" s="3" t="s">
        <v>130</v>
      </c>
      <c r="E68" s="3" t="s">
        <v>80</v>
      </c>
      <c r="F68" s="3" t="s">
        <v>131</v>
      </c>
      <c r="G68" s="3" t="s">
        <v>229</v>
      </c>
      <c r="H68" s="3" t="s">
        <v>40</v>
      </c>
    </row>
    <row r="69" customFormat="false" ht="15" hidden="false" customHeight="false" outlineLevel="0" collapsed="false">
      <c r="A69" s="3" t="s">
        <v>230</v>
      </c>
      <c r="B69" s="3" t="s">
        <v>231</v>
      </c>
      <c r="C69" s="3" t="s">
        <v>11</v>
      </c>
      <c r="D69" s="3" t="s">
        <v>175</v>
      </c>
      <c r="E69" s="3" t="s">
        <v>54</v>
      </c>
      <c r="F69" s="3" t="s">
        <v>176</v>
      </c>
      <c r="G69" s="3" t="s">
        <v>232</v>
      </c>
      <c r="H69" s="3" t="s">
        <v>16</v>
      </c>
    </row>
    <row r="70" customFormat="false" ht="15" hidden="false" customHeight="false" outlineLevel="0" collapsed="false">
      <c r="A70" s="3" t="s">
        <v>233</v>
      </c>
      <c r="B70" s="3" t="s">
        <v>234</v>
      </c>
      <c r="C70" s="3" t="s">
        <v>30</v>
      </c>
      <c r="D70" s="3" t="s">
        <v>110</v>
      </c>
      <c r="E70" s="3" t="s">
        <v>24</v>
      </c>
      <c r="F70" s="3" t="s">
        <v>111</v>
      </c>
      <c r="G70" s="3" t="s">
        <v>235</v>
      </c>
      <c r="H70" s="3" t="s">
        <v>27</v>
      </c>
    </row>
    <row r="71" customFormat="false" ht="15" hidden="false" customHeight="false" outlineLevel="0" collapsed="false">
      <c r="A71" s="3" t="s">
        <v>236</v>
      </c>
      <c r="B71" s="3" t="s">
        <v>237</v>
      </c>
      <c r="C71" s="3" t="s">
        <v>30</v>
      </c>
      <c r="D71" s="3" t="s">
        <v>175</v>
      </c>
      <c r="E71" s="3" t="s">
        <v>54</v>
      </c>
      <c r="F71" s="3" t="s">
        <v>176</v>
      </c>
      <c r="G71" s="3" t="s">
        <v>238</v>
      </c>
      <c r="H71" s="3" t="s">
        <v>16</v>
      </c>
    </row>
    <row r="72" customFormat="false" ht="15" hidden="false" customHeight="false" outlineLevel="0" collapsed="false">
      <c r="A72" s="3" t="s">
        <v>239</v>
      </c>
      <c r="B72" s="3" t="s">
        <v>240</v>
      </c>
      <c r="C72" s="3" t="s">
        <v>59</v>
      </c>
      <c r="D72" s="3" t="s">
        <v>23</v>
      </c>
      <c r="E72" s="3" t="s">
        <v>24</v>
      </c>
      <c r="F72" s="3" t="s">
        <v>25</v>
      </c>
      <c r="G72" s="3" t="s">
        <v>241</v>
      </c>
      <c r="H72" s="3" t="s">
        <v>16</v>
      </c>
    </row>
    <row r="73" customFormat="false" ht="15" hidden="false" customHeight="false" outlineLevel="0" collapsed="false">
      <c r="A73" s="3" t="s">
        <v>242</v>
      </c>
      <c r="B73" s="3" t="s">
        <v>243</v>
      </c>
      <c r="C73" s="3" t="s">
        <v>11</v>
      </c>
      <c r="D73" s="3" t="s">
        <v>103</v>
      </c>
      <c r="E73" s="3" t="s">
        <v>43</v>
      </c>
      <c r="F73" s="3" t="s">
        <v>104</v>
      </c>
      <c r="G73" s="3" t="s">
        <v>244</v>
      </c>
      <c r="H73" s="3" t="s">
        <v>34</v>
      </c>
    </row>
    <row r="74" customFormat="false" ht="15" hidden="false" customHeight="false" outlineLevel="0" collapsed="false">
      <c r="A74" s="3" t="s">
        <v>245</v>
      </c>
      <c r="B74" s="3" t="s">
        <v>246</v>
      </c>
      <c r="C74" s="3" t="s">
        <v>11</v>
      </c>
      <c r="D74" s="3" t="s">
        <v>67</v>
      </c>
      <c r="E74" s="3" t="s">
        <v>13</v>
      </c>
      <c r="F74" s="3" t="s">
        <v>68</v>
      </c>
      <c r="G74" s="3" t="s">
        <v>247</v>
      </c>
      <c r="H74" s="3" t="s">
        <v>61</v>
      </c>
    </row>
    <row r="75" customFormat="false" ht="15" hidden="false" customHeight="false" outlineLevel="0" collapsed="false">
      <c r="A75" s="3" t="s">
        <v>248</v>
      </c>
      <c r="B75" s="3" t="s">
        <v>249</v>
      </c>
      <c r="C75" s="3" t="s">
        <v>30</v>
      </c>
      <c r="D75" s="3" t="s">
        <v>175</v>
      </c>
      <c r="E75" s="3"/>
      <c r="F75" s="3" t="s">
        <v>176</v>
      </c>
      <c r="G75" s="3" t="s">
        <v>250</v>
      </c>
      <c r="H75" s="3" t="s">
        <v>40</v>
      </c>
    </row>
    <row r="76" customFormat="false" ht="15" hidden="false" customHeight="false" outlineLevel="0" collapsed="false">
      <c r="A76" s="3" t="s">
        <v>251</v>
      </c>
      <c r="B76" s="3" t="s">
        <v>252</v>
      </c>
      <c r="C76" s="3" t="s">
        <v>19</v>
      </c>
      <c r="D76" s="3" t="s">
        <v>74</v>
      </c>
      <c r="E76" s="3"/>
      <c r="F76" s="3" t="s">
        <v>75</v>
      </c>
      <c r="G76" s="3" t="s">
        <v>253</v>
      </c>
      <c r="H76" s="3" t="s">
        <v>45</v>
      </c>
    </row>
    <row r="77" customFormat="false" ht="15" hidden="false" customHeight="false" outlineLevel="0" collapsed="false">
      <c r="A77" s="3" t="s">
        <v>254</v>
      </c>
      <c r="B77" s="3" t="s">
        <v>137</v>
      </c>
      <c r="C77" s="3" t="s">
        <v>30</v>
      </c>
      <c r="D77" s="3" t="s">
        <v>31</v>
      </c>
      <c r="E77" s="3" t="s">
        <v>43</v>
      </c>
      <c r="F77" s="3" t="s">
        <v>32</v>
      </c>
      <c r="G77" s="3" t="s">
        <v>255</v>
      </c>
      <c r="H77" s="3" t="s">
        <v>45</v>
      </c>
    </row>
    <row r="78" customFormat="false" ht="15" hidden="false" customHeight="false" outlineLevel="0" collapsed="false">
      <c r="A78" s="3" t="s">
        <v>256</v>
      </c>
      <c r="B78" s="3" t="s">
        <v>257</v>
      </c>
      <c r="C78" s="3" t="s">
        <v>19</v>
      </c>
      <c r="D78" s="3" t="s">
        <v>67</v>
      </c>
      <c r="E78" s="3" t="s">
        <v>13</v>
      </c>
      <c r="F78" s="3" t="s">
        <v>68</v>
      </c>
      <c r="G78" s="3" t="s">
        <v>258</v>
      </c>
      <c r="H78" s="3" t="s">
        <v>16</v>
      </c>
    </row>
    <row r="79" customFormat="false" ht="15" hidden="false" customHeight="false" outlineLevel="0" collapsed="false">
      <c r="A79" s="3" t="s">
        <v>259</v>
      </c>
      <c r="B79" s="3" t="s">
        <v>260</v>
      </c>
      <c r="C79" s="3" t="s">
        <v>59</v>
      </c>
      <c r="D79" s="3" t="s">
        <v>53</v>
      </c>
      <c r="E79" s="3" t="s">
        <v>54</v>
      </c>
      <c r="F79" s="3" t="s">
        <v>55</v>
      </c>
      <c r="G79" s="3" t="s">
        <v>261</v>
      </c>
      <c r="H79" s="3" t="s">
        <v>40</v>
      </c>
    </row>
    <row r="80" customFormat="false" ht="15" hidden="false" customHeight="false" outlineLevel="0" collapsed="false">
      <c r="A80" s="3" t="s">
        <v>262</v>
      </c>
      <c r="B80" s="3" t="s">
        <v>263</v>
      </c>
      <c r="C80" s="3" t="s">
        <v>19</v>
      </c>
      <c r="D80" s="3" t="s">
        <v>53</v>
      </c>
      <c r="E80" s="3" t="s">
        <v>54</v>
      </c>
      <c r="F80" s="3" t="s">
        <v>55</v>
      </c>
      <c r="G80" s="3" t="s">
        <v>264</v>
      </c>
      <c r="H80" s="3" t="s">
        <v>16</v>
      </c>
    </row>
    <row r="81" customFormat="false" ht="15" hidden="false" customHeight="false" outlineLevel="0" collapsed="false">
      <c r="A81" s="3" t="s">
        <v>262</v>
      </c>
      <c r="B81" s="3" t="s">
        <v>263</v>
      </c>
      <c r="C81" s="3" t="s">
        <v>19</v>
      </c>
      <c r="D81" s="3" t="s">
        <v>53</v>
      </c>
      <c r="E81" s="3" t="s">
        <v>54</v>
      </c>
      <c r="F81" s="3" t="s">
        <v>55</v>
      </c>
      <c r="G81" s="3" t="s">
        <v>264</v>
      </c>
      <c r="H81" s="3" t="s">
        <v>16</v>
      </c>
    </row>
    <row r="82" customFormat="false" ht="15" hidden="false" customHeight="false" outlineLevel="0" collapsed="false">
      <c r="A82" s="3" t="s">
        <v>265</v>
      </c>
      <c r="B82" s="3" t="s">
        <v>266</v>
      </c>
      <c r="C82" s="3" t="s">
        <v>59</v>
      </c>
      <c r="D82" s="3" t="s">
        <v>23</v>
      </c>
      <c r="E82" s="3" t="s">
        <v>24</v>
      </c>
      <c r="F82" s="3" t="s">
        <v>25</v>
      </c>
      <c r="G82" s="3" t="s">
        <v>267</v>
      </c>
      <c r="H82" s="3" t="s">
        <v>61</v>
      </c>
    </row>
    <row r="83" customFormat="false" ht="15" hidden="false" customHeight="false" outlineLevel="0" collapsed="false">
      <c r="A83" s="3" t="s">
        <v>268</v>
      </c>
      <c r="B83" s="3" t="s">
        <v>243</v>
      </c>
      <c r="C83" s="3" t="s">
        <v>19</v>
      </c>
      <c r="D83" s="3" t="s">
        <v>48</v>
      </c>
      <c r="E83" s="3" t="s">
        <v>43</v>
      </c>
      <c r="F83" s="3" t="s">
        <v>49</v>
      </c>
      <c r="G83" s="3" t="s">
        <v>269</v>
      </c>
      <c r="H83" s="3" t="s">
        <v>61</v>
      </c>
    </row>
    <row r="84" customFormat="false" ht="15" hidden="false" customHeight="false" outlineLevel="0" collapsed="false">
      <c r="A84" s="3" t="s">
        <v>270</v>
      </c>
      <c r="B84" s="3" t="s">
        <v>271</v>
      </c>
      <c r="C84" s="3" t="s">
        <v>11</v>
      </c>
      <c r="D84" s="3" t="s">
        <v>48</v>
      </c>
      <c r="E84" s="3" t="s">
        <v>43</v>
      </c>
      <c r="F84" s="3" t="s">
        <v>49</v>
      </c>
      <c r="G84" s="3" t="s">
        <v>272</v>
      </c>
      <c r="H84" s="3" t="s">
        <v>40</v>
      </c>
    </row>
    <row r="85" customFormat="false" ht="15" hidden="false" customHeight="false" outlineLevel="0" collapsed="false">
      <c r="A85" s="3" t="s">
        <v>273</v>
      </c>
      <c r="B85" s="3" t="s">
        <v>274</v>
      </c>
      <c r="C85" s="3" t="s">
        <v>59</v>
      </c>
      <c r="D85" s="3" t="s">
        <v>12</v>
      </c>
      <c r="E85" s="3" t="s">
        <v>13</v>
      </c>
      <c r="F85" s="3" t="s">
        <v>14</v>
      </c>
      <c r="G85" s="3" t="s">
        <v>275</v>
      </c>
      <c r="H85" s="3" t="s">
        <v>16</v>
      </c>
    </row>
    <row r="86" customFormat="false" ht="15" hidden="false" customHeight="false" outlineLevel="0" collapsed="false">
      <c r="A86" s="3" t="s">
        <v>276</v>
      </c>
      <c r="B86" s="3" t="s">
        <v>277</v>
      </c>
      <c r="C86" s="3" t="s">
        <v>30</v>
      </c>
      <c r="D86" s="3" t="s">
        <v>74</v>
      </c>
      <c r="E86" s="3" t="s">
        <v>13</v>
      </c>
      <c r="F86" s="3" t="s">
        <v>75</v>
      </c>
      <c r="G86" s="3" t="s">
        <v>278</v>
      </c>
      <c r="H86" s="3" t="s">
        <v>61</v>
      </c>
    </row>
    <row r="87" customFormat="false" ht="15" hidden="false" customHeight="false" outlineLevel="0" collapsed="false">
      <c r="A87" s="3" t="s">
        <v>279</v>
      </c>
      <c r="B87" s="3" t="s">
        <v>280</v>
      </c>
      <c r="C87" s="3" t="s">
        <v>59</v>
      </c>
      <c r="D87" s="3" t="s">
        <v>37</v>
      </c>
      <c r="E87" s="3" t="s">
        <v>24</v>
      </c>
      <c r="F87" s="3" t="s">
        <v>38</v>
      </c>
      <c r="G87" s="3" t="s">
        <v>281</v>
      </c>
      <c r="H87" s="3" t="s">
        <v>40</v>
      </c>
    </row>
    <row r="88" customFormat="false" ht="15" hidden="false" customHeight="false" outlineLevel="0" collapsed="false">
      <c r="A88" s="3" t="s">
        <v>282</v>
      </c>
      <c r="B88" s="3" t="s">
        <v>283</v>
      </c>
      <c r="C88" s="3" t="s">
        <v>59</v>
      </c>
      <c r="D88" s="3" t="s">
        <v>48</v>
      </c>
      <c r="E88" s="3" t="s">
        <v>43</v>
      </c>
      <c r="F88" s="3" t="s">
        <v>49</v>
      </c>
      <c r="G88" s="3" t="s">
        <v>284</v>
      </c>
      <c r="H88" s="3" t="s">
        <v>40</v>
      </c>
    </row>
    <row r="89" customFormat="false" ht="15" hidden="false" customHeight="false" outlineLevel="0" collapsed="false">
      <c r="A89" s="3" t="s">
        <v>285</v>
      </c>
      <c r="B89" s="3" t="s">
        <v>286</v>
      </c>
      <c r="C89" s="3" t="s">
        <v>59</v>
      </c>
      <c r="D89" s="3" t="s">
        <v>287</v>
      </c>
      <c r="E89" s="3" t="s">
        <v>13</v>
      </c>
      <c r="F89" s="3" t="s">
        <v>288</v>
      </c>
      <c r="G89" s="3" t="s">
        <v>289</v>
      </c>
      <c r="H89" s="3" t="s">
        <v>34</v>
      </c>
    </row>
    <row r="90" customFormat="false" ht="15" hidden="false" customHeight="false" outlineLevel="0" collapsed="false">
      <c r="A90" s="3" t="s">
        <v>290</v>
      </c>
      <c r="B90" s="3" t="s">
        <v>291</v>
      </c>
      <c r="C90" s="3" t="s">
        <v>11</v>
      </c>
      <c r="D90" s="3" t="s">
        <v>53</v>
      </c>
      <c r="E90" s="3" t="s">
        <v>54</v>
      </c>
      <c r="F90" s="3" t="s">
        <v>55</v>
      </c>
      <c r="G90" s="3" t="s">
        <v>292</v>
      </c>
      <c r="H90" s="3" t="s">
        <v>45</v>
      </c>
    </row>
    <row r="91" customFormat="false" ht="15" hidden="false" customHeight="false" outlineLevel="0" collapsed="false">
      <c r="A91" s="3" t="s">
        <v>293</v>
      </c>
      <c r="B91" s="3" t="s">
        <v>294</v>
      </c>
      <c r="C91" s="3" t="s">
        <v>30</v>
      </c>
      <c r="D91" s="3" t="s">
        <v>138</v>
      </c>
      <c r="E91" s="3" t="s">
        <v>80</v>
      </c>
      <c r="F91" s="3" t="s">
        <v>139</v>
      </c>
      <c r="G91" s="3" t="s">
        <v>295</v>
      </c>
      <c r="H91" s="3" t="s">
        <v>27</v>
      </c>
    </row>
    <row r="92" customFormat="false" ht="15" hidden="false" customHeight="false" outlineLevel="0" collapsed="false">
      <c r="A92" s="3" t="s">
        <v>296</v>
      </c>
      <c r="B92" s="3" t="s">
        <v>117</v>
      </c>
      <c r="C92" s="3" t="s">
        <v>11</v>
      </c>
      <c r="D92" s="3" t="s">
        <v>130</v>
      </c>
      <c r="E92" s="3" t="s">
        <v>80</v>
      </c>
      <c r="F92" s="3" t="s">
        <v>131</v>
      </c>
      <c r="G92" s="3" t="s">
        <v>297</v>
      </c>
      <c r="H92" s="3" t="s">
        <v>45</v>
      </c>
    </row>
    <row r="93" customFormat="false" ht="15" hidden="false" customHeight="false" outlineLevel="0" collapsed="false">
      <c r="A93" s="3" t="s">
        <v>298</v>
      </c>
      <c r="B93" s="3" t="s">
        <v>299</v>
      </c>
      <c r="C93" s="3" t="s">
        <v>19</v>
      </c>
      <c r="D93" s="3" t="s">
        <v>37</v>
      </c>
      <c r="E93" s="3" t="s">
        <v>24</v>
      </c>
      <c r="F93" s="3" t="s">
        <v>38</v>
      </c>
      <c r="G93" s="3" t="s">
        <v>300</v>
      </c>
      <c r="H93" s="3" t="s">
        <v>45</v>
      </c>
    </row>
    <row r="94" customFormat="false" ht="15" hidden="false" customHeight="false" outlineLevel="0" collapsed="false">
      <c r="A94" s="3" t="s">
        <v>298</v>
      </c>
      <c r="B94" s="3" t="s">
        <v>299</v>
      </c>
      <c r="C94" s="3" t="s">
        <v>19</v>
      </c>
      <c r="D94" s="3" t="s">
        <v>37</v>
      </c>
      <c r="E94" s="3" t="s">
        <v>24</v>
      </c>
      <c r="F94" s="3" t="s">
        <v>38</v>
      </c>
      <c r="G94" s="3" t="s">
        <v>300</v>
      </c>
      <c r="H94" s="3" t="s">
        <v>45</v>
      </c>
    </row>
    <row r="95" customFormat="false" ht="15" hidden="false" customHeight="false" outlineLevel="0" collapsed="false">
      <c r="A95" s="3" t="s">
        <v>301</v>
      </c>
      <c r="B95" s="3" t="s">
        <v>302</v>
      </c>
      <c r="C95" s="3" t="s">
        <v>59</v>
      </c>
      <c r="D95" s="3" t="s">
        <v>48</v>
      </c>
      <c r="E95" s="3" t="s">
        <v>43</v>
      </c>
      <c r="F95" s="3" t="s">
        <v>49</v>
      </c>
      <c r="G95" s="3" t="s">
        <v>303</v>
      </c>
      <c r="H95" s="3" t="s">
        <v>45</v>
      </c>
    </row>
    <row r="96" customFormat="false" ht="15" hidden="false" customHeight="false" outlineLevel="0" collapsed="false">
      <c r="A96" s="3" t="s">
        <v>304</v>
      </c>
      <c r="B96" s="3" t="s">
        <v>305</v>
      </c>
      <c r="C96" s="3"/>
      <c r="D96" s="3" t="s">
        <v>31</v>
      </c>
      <c r="E96" s="3" t="s">
        <v>43</v>
      </c>
      <c r="F96" s="3" t="s">
        <v>32</v>
      </c>
      <c r="G96" s="3" t="s">
        <v>306</v>
      </c>
      <c r="H96" s="3" t="s">
        <v>45</v>
      </c>
    </row>
    <row r="97" customFormat="false" ht="15" hidden="false" customHeight="false" outlineLevel="0" collapsed="false">
      <c r="A97" s="3" t="s">
        <v>307</v>
      </c>
      <c r="B97" s="3" t="s">
        <v>234</v>
      </c>
      <c r="C97" s="3" t="s">
        <v>19</v>
      </c>
      <c r="D97" s="3" t="s">
        <v>23</v>
      </c>
      <c r="E97" s="3" t="s">
        <v>24</v>
      </c>
      <c r="F97" s="3" t="s">
        <v>25</v>
      </c>
      <c r="G97" s="3" t="s">
        <v>308</v>
      </c>
      <c r="H97" s="3" t="s">
        <v>27</v>
      </c>
    </row>
    <row r="98" customFormat="false" ht="15" hidden="false" customHeight="false" outlineLevel="0" collapsed="false">
      <c r="A98" s="3" t="s">
        <v>309</v>
      </c>
      <c r="B98" s="3" t="s">
        <v>225</v>
      </c>
      <c r="C98" s="3" t="s">
        <v>59</v>
      </c>
      <c r="D98" s="3" t="s">
        <v>37</v>
      </c>
      <c r="E98" s="3" t="s">
        <v>24</v>
      </c>
      <c r="F98" s="3" t="s">
        <v>38</v>
      </c>
      <c r="G98" s="3" t="s">
        <v>310</v>
      </c>
      <c r="H98" s="3" t="s">
        <v>45</v>
      </c>
    </row>
    <row r="99" customFormat="false" ht="15" hidden="false" customHeight="false" outlineLevel="0" collapsed="false">
      <c r="A99" s="3" t="s">
        <v>311</v>
      </c>
      <c r="B99" s="3" t="s">
        <v>312</v>
      </c>
      <c r="C99" s="3" t="s">
        <v>59</v>
      </c>
      <c r="D99" s="3" t="s">
        <v>103</v>
      </c>
      <c r="E99" s="3" t="s">
        <v>43</v>
      </c>
      <c r="F99" s="3" t="s">
        <v>104</v>
      </c>
      <c r="G99" s="3" t="s">
        <v>313</v>
      </c>
      <c r="H99" s="3" t="s">
        <v>61</v>
      </c>
    </row>
    <row r="100" customFormat="false" ht="15" hidden="false" customHeight="false" outlineLevel="0" collapsed="false">
      <c r="A100" s="3" t="s">
        <v>314</v>
      </c>
      <c r="B100" s="3" t="s">
        <v>120</v>
      </c>
      <c r="C100" s="3" t="s">
        <v>30</v>
      </c>
      <c r="D100" s="3" t="s">
        <v>23</v>
      </c>
      <c r="E100" s="3" t="s">
        <v>24</v>
      </c>
      <c r="F100" s="3" t="s">
        <v>25</v>
      </c>
      <c r="G100" s="3" t="s">
        <v>315</v>
      </c>
      <c r="H100" s="3" t="s">
        <v>61</v>
      </c>
    </row>
    <row r="101" customFormat="false" ht="15" hidden="false" customHeight="false" outlineLevel="0" collapsed="false">
      <c r="A101" s="3" t="s">
        <v>316</v>
      </c>
      <c r="B101" s="3" t="s">
        <v>317</v>
      </c>
      <c r="C101" s="3"/>
      <c r="D101" s="3" t="s">
        <v>12</v>
      </c>
      <c r="E101" s="3" t="s">
        <v>13</v>
      </c>
      <c r="F101" s="3" t="s">
        <v>14</v>
      </c>
      <c r="G101" s="3" t="s">
        <v>318</v>
      </c>
      <c r="H101" s="3" t="s">
        <v>16</v>
      </c>
    </row>
    <row r="102" customFormat="false" ht="15" hidden="false" customHeight="false" outlineLevel="0" collapsed="false">
      <c r="A102" s="3" t="s">
        <v>319</v>
      </c>
      <c r="B102" s="3" t="s">
        <v>257</v>
      </c>
      <c r="C102" s="3" t="s">
        <v>59</v>
      </c>
      <c r="D102" s="3" t="s">
        <v>150</v>
      </c>
      <c r="E102" s="3" t="s">
        <v>80</v>
      </c>
      <c r="F102" s="3" t="s">
        <v>151</v>
      </c>
      <c r="G102" s="3" t="s">
        <v>320</v>
      </c>
      <c r="H102" s="3" t="s">
        <v>27</v>
      </c>
    </row>
    <row r="103" customFormat="false" ht="15" hidden="false" customHeight="false" outlineLevel="0" collapsed="false">
      <c r="A103" s="3" t="s">
        <v>321</v>
      </c>
      <c r="B103" s="3" t="s">
        <v>18</v>
      </c>
      <c r="C103" s="3" t="s">
        <v>19</v>
      </c>
      <c r="D103" s="3" t="s">
        <v>130</v>
      </c>
      <c r="E103" s="3" t="s">
        <v>80</v>
      </c>
      <c r="F103" s="3" t="s">
        <v>131</v>
      </c>
      <c r="G103" s="3" t="s">
        <v>322</v>
      </c>
      <c r="H103" s="3" t="s">
        <v>40</v>
      </c>
    </row>
    <row r="104" customFormat="false" ht="15" hidden="false" customHeight="false" outlineLevel="0" collapsed="false">
      <c r="A104" s="3" t="s">
        <v>323</v>
      </c>
      <c r="B104" s="3" t="s">
        <v>324</v>
      </c>
      <c r="C104" s="3" t="s">
        <v>19</v>
      </c>
      <c r="D104" s="3" t="s">
        <v>48</v>
      </c>
      <c r="E104" s="3" t="s">
        <v>43</v>
      </c>
      <c r="F104" s="3" t="s">
        <v>49</v>
      </c>
      <c r="G104" s="3" t="s">
        <v>325</v>
      </c>
      <c r="H104" s="3" t="s">
        <v>40</v>
      </c>
    </row>
    <row r="105" customFormat="false" ht="15" hidden="false" customHeight="false" outlineLevel="0" collapsed="false">
      <c r="A105" s="3" t="s">
        <v>326</v>
      </c>
      <c r="B105" s="3" t="s">
        <v>327</v>
      </c>
      <c r="C105" s="3" t="s">
        <v>19</v>
      </c>
      <c r="D105" s="3" t="s">
        <v>110</v>
      </c>
      <c r="E105" s="3" t="s">
        <v>24</v>
      </c>
      <c r="F105" s="3" t="s">
        <v>111</v>
      </c>
      <c r="G105" s="3" t="s">
        <v>328</v>
      </c>
      <c r="H105" s="3" t="s">
        <v>16</v>
      </c>
    </row>
    <row r="106" customFormat="false" ht="15" hidden="false" customHeight="false" outlineLevel="0" collapsed="false">
      <c r="A106" s="3" t="s">
        <v>329</v>
      </c>
      <c r="B106" s="3" t="s">
        <v>330</v>
      </c>
      <c r="C106" s="3" t="s">
        <v>59</v>
      </c>
      <c r="D106" s="3" t="s">
        <v>31</v>
      </c>
      <c r="E106" s="3" t="s">
        <v>43</v>
      </c>
      <c r="F106" s="3" t="s">
        <v>32</v>
      </c>
      <c r="G106" s="3" t="s">
        <v>331</v>
      </c>
      <c r="H106" s="3" t="s">
        <v>61</v>
      </c>
    </row>
    <row r="107" customFormat="false" ht="15" hidden="false" customHeight="false" outlineLevel="0" collapsed="false">
      <c r="A107" s="3" t="s">
        <v>332</v>
      </c>
      <c r="B107" s="3" t="s">
        <v>202</v>
      </c>
      <c r="C107" s="3" t="s">
        <v>11</v>
      </c>
      <c r="D107" s="3" t="s">
        <v>31</v>
      </c>
      <c r="E107" s="3" t="s">
        <v>43</v>
      </c>
      <c r="F107" s="3" t="s">
        <v>32</v>
      </c>
      <c r="G107" s="3" t="s">
        <v>333</v>
      </c>
      <c r="H107" s="3" t="s">
        <v>34</v>
      </c>
    </row>
    <row r="108" customFormat="false" ht="15" hidden="false" customHeight="false" outlineLevel="0" collapsed="false">
      <c r="A108" s="3" t="s">
        <v>334</v>
      </c>
      <c r="B108" s="3" t="s">
        <v>335</v>
      </c>
      <c r="C108" s="3" t="s">
        <v>30</v>
      </c>
      <c r="D108" s="3" t="s">
        <v>79</v>
      </c>
      <c r="E108" s="3" t="s">
        <v>80</v>
      </c>
      <c r="F108" s="3" t="s">
        <v>81</v>
      </c>
      <c r="G108" s="3" t="s">
        <v>336</v>
      </c>
      <c r="H108" s="3" t="s">
        <v>16</v>
      </c>
    </row>
    <row r="109" customFormat="false" ht="15" hidden="false" customHeight="false" outlineLevel="0" collapsed="false">
      <c r="A109" s="3" t="s">
        <v>337</v>
      </c>
      <c r="B109" s="3" t="s">
        <v>338</v>
      </c>
      <c r="C109" s="3" t="s">
        <v>19</v>
      </c>
      <c r="D109" s="3" t="s">
        <v>37</v>
      </c>
      <c r="E109" s="3" t="s">
        <v>24</v>
      </c>
      <c r="F109" s="3" t="s">
        <v>38</v>
      </c>
      <c r="G109" s="3" t="s">
        <v>339</v>
      </c>
      <c r="H109" s="3" t="s">
        <v>40</v>
      </c>
    </row>
    <row r="110" customFormat="false" ht="15" hidden="false" customHeight="false" outlineLevel="0" collapsed="false">
      <c r="A110" s="3" t="s">
        <v>340</v>
      </c>
      <c r="B110" s="3" t="s">
        <v>134</v>
      </c>
      <c r="C110" s="3" t="s">
        <v>11</v>
      </c>
      <c r="D110" s="3" t="s">
        <v>110</v>
      </c>
      <c r="E110" s="3" t="s">
        <v>24</v>
      </c>
      <c r="F110" s="3" t="s">
        <v>111</v>
      </c>
      <c r="G110" s="3" t="s">
        <v>341</v>
      </c>
      <c r="H110" s="3" t="s">
        <v>16</v>
      </c>
    </row>
    <row r="111" customFormat="false" ht="15" hidden="false" customHeight="false" outlineLevel="0" collapsed="false">
      <c r="A111" s="3" t="s">
        <v>342</v>
      </c>
      <c r="B111" s="3" t="s">
        <v>179</v>
      </c>
      <c r="C111" s="3" t="s">
        <v>11</v>
      </c>
      <c r="D111" s="3" t="s">
        <v>23</v>
      </c>
      <c r="E111" s="3" t="s">
        <v>24</v>
      </c>
      <c r="F111" s="3" t="s">
        <v>25</v>
      </c>
      <c r="G111" s="3" t="s">
        <v>343</v>
      </c>
      <c r="H111" s="3" t="s">
        <v>16</v>
      </c>
    </row>
    <row r="112" customFormat="false" ht="15" hidden="false" customHeight="false" outlineLevel="0" collapsed="false">
      <c r="A112" s="3" t="s">
        <v>344</v>
      </c>
      <c r="B112" s="3" t="s">
        <v>252</v>
      </c>
      <c r="C112" s="3" t="s">
        <v>59</v>
      </c>
      <c r="D112" s="3" t="s">
        <v>48</v>
      </c>
      <c r="E112" s="3" t="s">
        <v>43</v>
      </c>
      <c r="F112" s="3" t="s">
        <v>49</v>
      </c>
      <c r="G112" s="3" t="s">
        <v>345</v>
      </c>
      <c r="H112" s="3" t="s">
        <v>16</v>
      </c>
    </row>
    <row r="113" customFormat="false" ht="15" hidden="false" customHeight="false" outlineLevel="0" collapsed="false">
      <c r="A113" s="3" t="s">
        <v>346</v>
      </c>
      <c r="B113" s="3" t="s">
        <v>347</v>
      </c>
      <c r="C113" s="3" t="s">
        <v>19</v>
      </c>
      <c r="D113" s="3" t="s">
        <v>48</v>
      </c>
      <c r="E113" s="3" t="s">
        <v>43</v>
      </c>
      <c r="F113" s="3" t="s">
        <v>49</v>
      </c>
      <c r="G113" s="3" t="s">
        <v>348</v>
      </c>
      <c r="H113" s="3" t="s">
        <v>61</v>
      </c>
    </row>
    <row r="114" customFormat="false" ht="15" hidden="false" customHeight="false" outlineLevel="0" collapsed="false">
      <c r="A114" s="3" t="s">
        <v>349</v>
      </c>
      <c r="B114" s="3" t="s">
        <v>350</v>
      </c>
      <c r="C114" s="3" t="s">
        <v>30</v>
      </c>
      <c r="D114" s="3" t="s">
        <v>103</v>
      </c>
      <c r="E114" s="3" t="s">
        <v>43</v>
      </c>
      <c r="F114" s="3" t="s">
        <v>104</v>
      </c>
      <c r="G114" s="3" t="s">
        <v>351</v>
      </c>
      <c r="H114" s="3" t="s">
        <v>27</v>
      </c>
    </row>
    <row r="115" customFormat="false" ht="15" hidden="false" customHeight="false" outlineLevel="0" collapsed="false">
      <c r="A115" s="3" t="s">
        <v>352</v>
      </c>
      <c r="B115" s="3" t="s">
        <v>196</v>
      </c>
      <c r="C115" s="3" t="s">
        <v>19</v>
      </c>
      <c r="D115" s="3" t="s">
        <v>175</v>
      </c>
      <c r="E115" s="3" t="s">
        <v>54</v>
      </c>
      <c r="F115" s="3" t="s">
        <v>176</v>
      </c>
      <c r="G115" s="3" t="s">
        <v>353</v>
      </c>
      <c r="H115" s="3" t="s">
        <v>45</v>
      </c>
    </row>
    <row r="116" customFormat="false" ht="15" hidden="false" customHeight="false" outlineLevel="0" collapsed="false">
      <c r="A116" s="3" t="s">
        <v>354</v>
      </c>
      <c r="B116" s="3" t="s">
        <v>193</v>
      </c>
      <c r="C116" s="3" t="s">
        <v>59</v>
      </c>
      <c r="D116" s="3" t="s">
        <v>130</v>
      </c>
      <c r="E116" s="3" t="s">
        <v>80</v>
      </c>
      <c r="F116" s="3" t="s">
        <v>131</v>
      </c>
      <c r="G116" s="3" t="s">
        <v>355</v>
      </c>
      <c r="H116" s="3" t="s">
        <v>16</v>
      </c>
    </row>
    <row r="117" customFormat="false" ht="15" hidden="false" customHeight="false" outlineLevel="0" collapsed="false">
      <c r="A117" s="3" t="s">
        <v>356</v>
      </c>
      <c r="B117" s="3" t="s">
        <v>357</v>
      </c>
      <c r="C117" s="3" t="s">
        <v>11</v>
      </c>
      <c r="D117" s="3" t="s">
        <v>287</v>
      </c>
      <c r="E117" s="3" t="s">
        <v>13</v>
      </c>
      <c r="F117" s="3" t="s">
        <v>288</v>
      </c>
      <c r="G117" s="3" t="s">
        <v>358</v>
      </c>
      <c r="H117" s="3" t="s">
        <v>45</v>
      </c>
    </row>
    <row r="118" customFormat="false" ht="15" hidden="false" customHeight="false" outlineLevel="0" collapsed="false">
      <c r="A118" s="3" t="s">
        <v>359</v>
      </c>
      <c r="B118" s="3" t="s">
        <v>84</v>
      </c>
      <c r="C118" s="3" t="s">
        <v>19</v>
      </c>
      <c r="D118" s="3" t="s">
        <v>74</v>
      </c>
      <c r="E118" s="3" t="s">
        <v>13</v>
      </c>
      <c r="F118" s="3" t="s">
        <v>75</v>
      </c>
      <c r="G118" s="3" t="s">
        <v>360</v>
      </c>
      <c r="H118" s="3" t="s">
        <v>27</v>
      </c>
    </row>
    <row r="119" customFormat="false" ht="15" hidden="false" customHeight="false" outlineLevel="0" collapsed="false">
      <c r="A119" s="3" t="s">
        <v>361</v>
      </c>
      <c r="B119" s="3" t="s">
        <v>362</v>
      </c>
      <c r="C119" s="3" t="s">
        <v>19</v>
      </c>
      <c r="D119" s="3" t="s">
        <v>138</v>
      </c>
      <c r="E119" s="3" t="s">
        <v>80</v>
      </c>
      <c r="F119" s="3" t="s">
        <v>139</v>
      </c>
      <c r="G119" s="3" t="s">
        <v>363</v>
      </c>
      <c r="H119" s="3" t="s">
        <v>27</v>
      </c>
    </row>
    <row r="120" customFormat="false" ht="15" hidden="false" customHeight="false" outlineLevel="0" collapsed="false">
      <c r="A120" s="3" t="s">
        <v>364</v>
      </c>
      <c r="B120" s="3" t="s">
        <v>193</v>
      </c>
      <c r="C120" s="3" t="s">
        <v>11</v>
      </c>
      <c r="D120" s="3" t="s">
        <v>79</v>
      </c>
      <c r="E120" s="3" t="s">
        <v>80</v>
      </c>
      <c r="F120" s="3" t="s">
        <v>81</v>
      </c>
      <c r="G120" s="3" t="s">
        <v>365</v>
      </c>
      <c r="H120" s="3" t="s">
        <v>16</v>
      </c>
    </row>
    <row r="121" customFormat="false" ht="15" hidden="false" customHeight="false" outlineLevel="0" collapsed="false">
      <c r="A121" s="3" t="s">
        <v>366</v>
      </c>
      <c r="B121" s="3" t="s">
        <v>367</v>
      </c>
      <c r="C121" s="3" t="s">
        <v>59</v>
      </c>
      <c r="D121" s="3" t="s">
        <v>287</v>
      </c>
      <c r="E121" s="3" t="s">
        <v>13</v>
      </c>
      <c r="F121" s="3" t="s">
        <v>288</v>
      </c>
      <c r="G121" s="3" t="s">
        <v>368</v>
      </c>
      <c r="H121" s="3" t="s">
        <v>16</v>
      </c>
    </row>
    <row r="122" customFormat="false" ht="15" hidden="false" customHeight="false" outlineLevel="0" collapsed="false">
      <c r="A122" s="3" t="s">
        <v>369</v>
      </c>
      <c r="B122" s="3" t="s">
        <v>370</v>
      </c>
      <c r="C122" s="3" t="s">
        <v>59</v>
      </c>
      <c r="D122" s="3" t="s">
        <v>175</v>
      </c>
      <c r="E122" s="3" t="s">
        <v>54</v>
      </c>
      <c r="F122" s="3" t="s">
        <v>176</v>
      </c>
      <c r="G122" s="3" t="s">
        <v>371</v>
      </c>
      <c r="H122" s="3" t="s">
        <v>16</v>
      </c>
    </row>
    <row r="123" customFormat="false" ht="15" hidden="false" customHeight="false" outlineLevel="0" collapsed="false">
      <c r="A123" s="3" t="s">
        <v>372</v>
      </c>
      <c r="B123" s="3" t="s">
        <v>274</v>
      </c>
      <c r="C123" s="3" t="s">
        <v>30</v>
      </c>
      <c r="D123" s="3" t="s">
        <v>37</v>
      </c>
      <c r="E123" s="3" t="s">
        <v>24</v>
      </c>
      <c r="F123" s="3" t="s">
        <v>38</v>
      </c>
      <c r="G123" s="3" t="s">
        <v>373</v>
      </c>
      <c r="H123" s="3" t="s">
        <v>16</v>
      </c>
    </row>
    <row r="124" customFormat="false" ht="15" hidden="false" customHeight="false" outlineLevel="0" collapsed="false">
      <c r="A124" s="3" t="s">
        <v>374</v>
      </c>
      <c r="B124" s="3" t="s">
        <v>182</v>
      </c>
      <c r="C124" s="3" t="s">
        <v>11</v>
      </c>
      <c r="D124" s="3" t="s">
        <v>23</v>
      </c>
      <c r="E124" s="3" t="s">
        <v>24</v>
      </c>
      <c r="F124" s="3" t="s">
        <v>25</v>
      </c>
      <c r="G124" s="3" t="s">
        <v>375</v>
      </c>
      <c r="H124" s="3" t="s">
        <v>45</v>
      </c>
    </row>
    <row r="125" customFormat="false" ht="15" hidden="false" customHeight="false" outlineLevel="0" collapsed="false">
      <c r="A125" s="3" t="s">
        <v>376</v>
      </c>
      <c r="B125" s="3" t="s">
        <v>260</v>
      </c>
      <c r="C125" s="3" t="s">
        <v>59</v>
      </c>
      <c r="D125" s="3" t="s">
        <v>53</v>
      </c>
      <c r="E125" s="3" t="s">
        <v>54</v>
      </c>
      <c r="F125" s="3" t="s">
        <v>55</v>
      </c>
      <c r="G125" s="3" t="s">
        <v>377</v>
      </c>
      <c r="H125" s="3" t="s">
        <v>45</v>
      </c>
    </row>
    <row r="126" customFormat="false" ht="15" hidden="false" customHeight="false" outlineLevel="0" collapsed="false">
      <c r="A126" s="3" t="s">
        <v>378</v>
      </c>
      <c r="B126" s="3" t="s">
        <v>379</v>
      </c>
      <c r="C126" s="3" t="s">
        <v>11</v>
      </c>
      <c r="D126" s="3" t="s">
        <v>110</v>
      </c>
      <c r="E126" s="3" t="s">
        <v>24</v>
      </c>
      <c r="F126" s="3" t="s">
        <v>111</v>
      </c>
      <c r="G126" s="3" t="s">
        <v>380</v>
      </c>
      <c r="H126" s="3" t="s">
        <v>61</v>
      </c>
    </row>
    <row r="127" customFormat="false" ht="15" hidden="false" customHeight="false" outlineLevel="0" collapsed="false">
      <c r="A127" s="3" t="s">
        <v>381</v>
      </c>
      <c r="B127" s="3" t="s">
        <v>382</v>
      </c>
      <c r="C127" s="3" t="s">
        <v>19</v>
      </c>
      <c r="D127" s="3" t="s">
        <v>74</v>
      </c>
      <c r="E127" s="3" t="s">
        <v>13</v>
      </c>
      <c r="F127" s="3" t="s">
        <v>75</v>
      </c>
      <c r="G127" s="3" t="s">
        <v>383</v>
      </c>
      <c r="H127" s="3" t="s">
        <v>34</v>
      </c>
    </row>
    <row r="128" customFormat="false" ht="15" hidden="false" customHeight="false" outlineLevel="0" collapsed="false">
      <c r="A128" s="3" t="s">
        <v>384</v>
      </c>
      <c r="B128" s="3" t="s">
        <v>109</v>
      </c>
      <c r="C128" s="3" t="s">
        <v>30</v>
      </c>
      <c r="D128" s="3" t="s">
        <v>23</v>
      </c>
      <c r="E128" s="3" t="s">
        <v>24</v>
      </c>
      <c r="F128" s="3" t="s">
        <v>25</v>
      </c>
      <c r="G128" s="3" t="s">
        <v>385</v>
      </c>
      <c r="H128" s="3" t="s">
        <v>40</v>
      </c>
    </row>
    <row r="129" customFormat="false" ht="15" hidden="false" customHeight="false" outlineLevel="0" collapsed="false">
      <c r="A129" s="3" t="s">
        <v>386</v>
      </c>
      <c r="B129" s="3" t="s">
        <v>134</v>
      </c>
      <c r="C129" s="3" t="s">
        <v>11</v>
      </c>
      <c r="D129" s="3" t="s">
        <v>74</v>
      </c>
      <c r="E129" s="3" t="s">
        <v>13</v>
      </c>
      <c r="F129" s="3" t="s">
        <v>75</v>
      </c>
      <c r="G129" s="3" t="s">
        <v>387</v>
      </c>
      <c r="H129" s="3" t="s">
        <v>34</v>
      </c>
    </row>
    <row r="130" customFormat="false" ht="15" hidden="false" customHeight="false" outlineLevel="0" collapsed="false">
      <c r="A130" s="3" t="s">
        <v>388</v>
      </c>
      <c r="B130" s="3" t="s">
        <v>389</v>
      </c>
      <c r="C130" s="3" t="s">
        <v>11</v>
      </c>
      <c r="D130" s="3" t="s">
        <v>53</v>
      </c>
      <c r="E130" s="3" t="s">
        <v>54</v>
      </c>
      <c r="F130" s="3" t="s">
        <v>55</v>
      </c>
      <c r="G130" s="3" t="s">
        <v>390</v>
      </c>
      <c r="H130" s="3" t="s">
        <v>40</v>
      </c>
    </row>
    <row r="131" customFormat="false" ht="15" hidden="false" customHeight="false" outlineLevel="0" collapsed="false">
      <c r="A131" s="3" t="s">
        <v>391</v>
      </c>
      <c r="B131" s="3" t="s">
        <v>392</v>
      </c>
      <c r="C131" s="3" t="s">
        <v>19</v>
      </c>
      <c r="D131" s="3" t="s">
        <v>37</v>
      </c>
      <c r="E131" s="3" t="s">
        <v>24</v>
      </c>
      <c r="F131" s="3" t="s">
        <v>38</v>
      </c>
      <c r="G131" s="3" t="s">
        <v>393</v>
      </c>
      <c r="H131" s="3" t="s">
        <v>16</v>
      </c>
    </row>
    <row r="132" customFormat="false" ht="15" hidden="false" customHeight="false" outlineLevel="0" collapsed="false">
      <c r="A132" s="3" t="s">
        <v>394</v>
      </c>
      <c r="B132" s="3" t="s">
        <v>395</v>
      </c>
      <c r="C132" s="3" t="s">
        <v>11</v>
      </c>
      <c r="D132" s="3" t="s">
        <v>103</v>
      </c>
      <c r="E132" s="3" t="s">
        <v>43</v>
      </c>
      <c r="F132" s="3" t="s">
        <v>104</v>
      </c>
      <c r="G132" s="3" t="s">
        <v>396</v>
      </c>
      <c r="H132" s="3" t="s">
        <v>16</v>
      </c>
    </row>
    <row r="133" customFormat="false" ht="15" hidden="false" customHeight="false" outlineLevel="0" collapsed="false">
      <c r="A133" s="3" t="s">
        <v>397</v>
      </c>
      <c r="B133" s="3" t="s">
        <v>398</v>
      </c>
      <c r="C133" s="3" t="s">
        <v>59</v>
      </c>
      <c r="D133" s="3" t="s">
        <v>23</v>
      </c>
      <c r="E133" s="3" t="s">
        <v>24</v>
      </c>
      <c r="F133" s="3" t="s">
        <v>25</v>
      </c>
      <c r="G133" s="3" t="s">
        <v>399</v>
      </c>
      <c r="H133" s="3" t="s">
        <v>45</v>
      </c>
    </row>
    <row r="134" customFormat="false" ht="15" hidden="false" customHeight="false" outlineLevel="0" collapsed="false">
      <c r="A134" s="3" t="s">
        <v>400</v>
      </c>
      <c r="B134" s="3" t="s">
        <v>401</v>
      </c>
      <c r="C134" s="3" t="s">
        <v>59</v>
      </c>
      <c r="D134" s="3" t="s">
        <v>48</v>
      </c>
      <c r="E134" s="3" t="s">
        <v>43</v>
      </c>
      <c r="F134" s="3" t="s">
        <v>49</v>
      </c>
      <c r="G134" s="3" t="s">
        <v>402</v>
      </c>
      <c r="H134" s="3" t="s">
        <v>16</v>
      </c>
    </row>
    <row r="135" customFormat="false" ht="15" hidden="false" customHeight="false" outlineLevel="0" collapsed="false">
      <c r="A135" s="3" t="s">
        <v>403</v>
      </c>
      <c r="B135" s="3" t="s">
        <v>404</v>
      </c>
      <c r="C135" s="3" t="s">
        <v>11</v>
      </c>
      <c r="D135" s="3" t="s">
        <v>150</v>
      </c>
      <c r="E135" s="3" t="s">
        <v>80</v>
      </c>
      <c r="F135" s="3" t="s">
        <v>151</v>
      </c>
      <c r="G135" s="3" t="s">
        <v>405</v>
      </c>
      <c r="H135" s="3" t="s">
        <v>16</v>
      </c>
    </row>
    <row r="136" customFormat="false" ht="15" hidden="false" customHeight="false" outlineLevel="0" collapsed="false">
      <c r="A136" s="3" t="s">
        <v>406</v>
      </c>
      <c r="B136" s="3" t="s">
        <v>58</v>
      </c>
      <c r="C136" s="3" t="s">
        <v>30</v>
      </c>
      <c r="D136" s="3" t="s">
        <v>138</v>
      </c>
      <c r="E136" s="3" t="s">
        <v>80</v>
      </c>
      <c r="F136" s="3" t="s">
        <v>139</v>
      </c>
      <c r="G136" s="3" t="s">
        <v>407</v>
      </c>
      <c r="H136" s="3" t="s">
        <v>16</v>
      </c>
    </row>
    <row r="137" customFormat="false" ht="15" hidden="false" customHeight="false" outlineLevel="0" collapsed="false">
      <c r="A137" s="3" t="s">
        <v>408</v>
      </c>
      <c r="B137" s="3" t="s">
        <v>252</v>
      </c>
      <c r="C137" s="3" t="s">
        <v>59</v>
      </c>
      <c r="D137" s="3" t="s">
        <v>23</v>
      </c>
      <c r="E137" s="3" t="s">
        <v>24</v>
      </c>
      <c r="F137" s="3" t="s">
        <v>25</v>
      </c>
      <c r="G137" s="3" t="s">
        <v>409</v>
      </c>
      <c r="H137" s="3" t="s">
        <v>16</v>
      </c>
    </row>
    <row r="138" customFormat="false" ht="15" hidden="false" customHeight="false" outlineLevel="0" collapsed="false">
      <c r="A138" s="3" t="s">
        <v>410</v>
      </c>
      <c r="B138" s="3" t="s">
        <v>411</v>
      </c>
      <c r="C138" s="3" t="s">
        <v>11</v>
      </c>
      <c r="D138" s="3" t="s">
        <v>23</v>
      </c>
      <c r="E138" s="3" t="s">
        <v>24</v>
      </c>
      <c r="F138" s="3" t="s">
        <v>25</v>
      </c>
      <c r="G138" s="3" t="s">
        <v>412</v>
      </c>
      <c r="H138" s="3" t="s">
        <v>16</v>
      </c>
    </row>
    <row r="139" customFormat="false" ht="15" hidden="false" customHeight="false" outlineLevel="0" collapsed="false">
      <c r="A139" s="3" t="s">
        <v>413</v>
      </c>
      <c r="B139" s="3" t="s">
        <v>202</v>
      </c>
      <c r="C139" s="3" t="s">
        <v>11</v>
      </c>
      <c r="D139" s="3" t="s">
        <v>48</v>
      </c>
      <c r="E139" s="3" t="s">
        <v>43</v>
      </c>
      <c r="F139" s="3" t="s">
        <v>49</v>
      </c>
      <c r="G139" s="3" t="s">
        <v>414</v>
      </c>
      <c r="H139" s="3" t="s">
        <v>27</v>
      </c>
    </row>
    <row r="140" customFormat="false" ht="15" hidden="false" customHeight="false" outlineLevel="0" collapsed="false">
      <c r="A140" s="3" t="s">
        <v>415</v>
      </c>
      <c r="B140" s="3" t="s">
        <v>416</v>
      </c>
      <c r="C140" s="3" t="s">
        <v>19</v>
      </c>
      <c r="D140" s="3" t="s">
        <v>103</v>
      </c>
      <c r="E140" s="3" t="s">
        <v>43</v>
      </c>
      <c r="F140" s="3" t="s">
        <v>104</v>
      </c>
      <c r="G140" s="3" t="s">
        <v>417</v>
      </c>
      <c r="H140" s="3" t="s">
        <v>27</v>
      </c>
    </row>
    <row r="141" customFormat="false" ht="15" hidden="false" customHeight="false" outlineLevel="0" collapsed="false">
      <c r="A141" s="3" t="s">
        <v>418</v>
      </c>
      <c r="B141" s="3" t="s">
        <v>66</v>
      </c>
      <c r="C141" s="3" t="s">
        <v>59</v>
      </c>
      <c r="D141" s="3" t="s">
        <v>110</v>
      </c>
      <c r="E141" s="3" t="s">
        <v>24</v>
      </c>
      <c r="F141" s="3" t="s">
        <v>111</v>
      </c>
      <c r="G141" s="3" t="s">
        <v>419</v>
      </c>
      <c r="H141" s="3" t="s">
        <v>34</v>
      </c>
    </row>
    <row r="142" customFormat="false" ht="15" hidden="false" customHeight="false" outlineLevel="0" collapsed="false">
      <c r="A142" s="3" t="s">
        <v>420</v>
      </c>
      <c r="B142" s="3" t="s">
        <v>299</v>
      </c>
      <c r="C142" s="3" t="s">
        <v>59</v>
      </c>
      <c r="D142" s="3" t="s">
        <v>31</v>
      </c>
      <c r="E142" s="3" t="s">
        <v>43</v>
      </c>
      <c r="F142" s="3" t="s">
        <v>32</v>
      </c>
      <c r="G142" s="3" t="s">
        <v>421</v>
      </c>
      <c r="H142" s="3" t="s">
        <v>61</v>
      </c>
    </row>
    <row r="143" customFormat="false" ht="15" hidden="false" customHeight="false" outlineLevel="0" collapsed="false">
      <c r="A143" s="3" t="s">
        <v>422</v>
      </c>
      <c r="B143" s="3" t="s">
        <v>423</v>
      </c>
      <c r="C143" s="3" t="s">
        <v>59</v>
      </c>
      <c r="D143" s="3" t="s">
        <v>103</v>
      </c>
      <c r="E143" s="3" t="s">
        <v>43</v>
      </c>
      <c r="F143" s="3" t="s">
        <v>104</v>
      </c>
      <c r="G143" s="3" t="s">
        <v>424</v>
      </c>
      <c r="H143" s="3" t="s">
        <v>16</v>
      </c>
    </row>
    <row r="144" customFormat="false" ht="15" hidden="false" customHeight="false" outlineLevel="0" collapsed="false">
      <c r="A144" s="3" t="s">
        <v>425</v>
      </c>
      <c r="B144" s="3" t="s">
        <v>260</v>
      </c>
      <c r="C144" s="3" t="s">
        <v>30</v>
      </c>
      <c r="D144" s="3" t="s">
        <v>110</v>
      </c>
      <c r="E144" s="3" t="s">
        <v>24</v>
      </c>
      <c r="F144" s="3" t="s">
        <v>111</v>
      </c>
      <c r="G144" s="3" t="s">
        <v>426</v>
      </c>
      <c r="H144" s="3" t="s">
        <v>34</v>
      </c>
    </row>
    <row r="145" customFormat="false" ht="15" hidden="false" customHeight="false" outlineLevel="0" collapsed="false">
      <c r="A145" s="3" t="s">
        <v>427</v>
      </c>
      <c r="B145" s="3" t="s">
        <v>428</v>
      </c>
      <c r="C145" s="3" t="s">
        <v>30</v>
      </c>
      <c r="D145" s="3" t="s">
        <v>287</v>
      </c>
      <c r="E145" s="3" t="s">
        <v>13</v>
      </c>
      <c r="F145" s="3" t="s">
        <v>288</v>
      </c>
      <c r="G145" s="3" t="s">
        <v>429</v>
      </c>
      <c r="H145" s="3" t="s">
        <v>16</v>
      </c>
    </row>
    <row r="146" customFormat="false" ht="15" hidden="false" customHeight="false" outlineLevel="0" collapsed="false">
      <c r="A146" s="3" t="s">
        <v>430</v>
      </c>
      <c r="B146" s="3" t="s">
        <v>166</v>
      </c>
      <c r="C146" s="3" t="s">
        <v>19</v>
      </c>
      <c r="D146" s="3" t="s">
        <v>23</v>
      </c>
      <c r="E146" s="3" t="s">
        <v>24</v>
      </c>
      <c r="F146" s="3" t="s">
        <v>25</v>
      </c>
      <c r="G146" s="3" t="s">
        <v>431</v>
      </c>
      <c r="H146" s="3" t="s">
        <v>40</v>
      </c>
    </row>
    <row r="147" customFormat="false" ht="15" hidden="false" customHeight="false" outlineLevel="0" collapsed="false">
      <c r="A147" s="3" t="s">
        <v>432</v>
      </c>
      <c r="B147" s="3" t="s">
        <v>433</v>
      </c>
      <c r="C147" s="3" t="s">
        <v>11</v>
      </c>
      <c r="D147" s="3" t="s">
        <v>31</v>
      </c>
      <c r="E147" s="3" t="s">
        <v>43</v>
      </c>
      <c r="F147" s="3" t="s">
        <v>32</v>
      </c>
      <c r="G147" s="3" t="s">
        <v>434</v>
      </c>
      <c r="H147" s="3" t="s">
        <v>45</v>
      </c>
    </row>
    <row r="148" customFormat="false" ht="15" hidden="false" customHeight="false" outlineLevel="0" collapsed="false">
      <c r="A148" s="3" t="s">
        <v>435</v>
      </c>
      <c r="B148" s="3" t="s">
        <v>63</v>
      </c>
      <c r="C148" s="3" t="s">
        <v>30</v>
      </c>
      <c r="D148" s="3" t="s">
        <v>138</v>
      </c>
      <c r="E148" s="3" t="s">
        <v>80</v>
      </c>
      <c r="F148" s="3" t="s">
        <v>139</v>
      </c>
      <c r="G148" s="3" t="s">
        <v>436</v>
      </c>
      <c r="H148" s="3" t="s">
        <v>40</v>
      </c>
    </row>
    <row r="149" customFormat="false" ht="15" hidden="false" customHeight="false" outlineLevel="0" collapsed="false">
      <c r="A149" s="3" t="s">
        <v>437</v>
      </c>
      <c r="B149" s="3" t="s">
        <v>370</v>
      </c>
      <c r="C149" s="3" t="s">
        <v>59</v>
      </c>
      <c r="D149" s="3" t="s">
        <v>74</v>
      </c>
      <c r="E149" s="3" t="s">
        <v>13</v>
      </c>
      <c r="F149" s="3" t="s">
        <v>75</v>
      </c>
      <c r="G149" s="3" t="s">
        <v>438</v>
      </c>
      <c r="H149" s="3" t="s">
        <v>27</v>
      </c>
    </row>
    <row r="150" customFormat="false" ht="15" hidden="false" customHeight="false" outlineLevel="0" collapsed="false">
      <c r="A150" s="3" t="s">
        <v>439</v>
      </c>
      <c r="B150" s="3" t="s">
        <v>117</v>
      </c>
      <c r="C150" s="3" t="s">
        <v>59</v>
      </c>
      <c r="D150" s="3" t="s">
        <v>53</v>
      </c>
      <c r="E150" s="3" t="s">
        <v>54</v>
      </c>
      <c r="F150" s="3" t="s">
        <v>55</v>
      </c>
      <c r="G150" s="3" t="s">
        <v>440</v>
      </c>
      <c r="H150" s="3" t="s">
        <v>40</v>
      </c>
    </row>
    <row r="151" customFormat="false" ht="15" hidden="false" customHeight="false" outlineLevel="0" collapsed="false">
      <c r="A151" s="3" t="s">
        <v>441</v>
      </c>
      <c r="B151" s="3" t="s">
        <v>442</v>
      </c>
      <c r="C151" s="3" t="s">
        <v>19</v>
      </c>
      <c r="D151" s="3" t="s">
        <v>150</v>
      </c>
      <c r="E151" s="3" t="s">
        <v>80</v>
      </c>
      <c r="F151" s="3" t="s">
        <v>151</v>
      </c>
      <c r="G151" s="3" t="s">
        <v>443</v>
      </c>
      <c r="H151" s="3" t="s">
        <v>34</v>
      </c>
    </row>
    <row r="152" customFormat="false" ht="15" hidden="false" customHeight="false" outlineLevel="0" collapsed="false">
      <c r="A152" s="3" t="s">
        <v>441</v>
      </c>
      <c r="B152" s="3" t="s">
        <v>442</v>
      </c>
      <c r="C152" s="3" t="s">
        <v>19</v>
      </c>
      <c r="D152" s="3" t="s">
        <v>150</v>
      </c>
      <c r="E152" s="3" t="s">
        <v>80</v>
      </c>
      <c r="F152" s="3" t="s">
        <v>151</v>
      </c>
      <c r="G152" s="3" t="s">
        <v>443</v>
      </c>
      <c r="H152" s="3" t="s">
        <v>34</v>
      </c>
    </row>
    <row r="153" customFormat="false" ht="15" hidden="false" customHeight="false" outlineLevel="0" collapsed="false">
      <c r="A153" s="3" t="s">
        <v>444</v>
      </c>
      <c r="B153" s="3" t="s">
        <v>362</v>
      </c>
      <c r="C153" s="3" t="s">
        <v>19</v>
      </c>
      <c r="D153" s="3" t="s">
        <v>48</v>
      </c>
      <c r="E153" s="3" t="s">
        <v>43</v>
      </c>
      <c r="F153" s="3" t="s">
        <v>49</v>
      </c>
      <c r="G153" s="3" t="s">
        <v>445</v>
      </c>
      <c r="H153" s="3" t="s">
        <v>27</v>
      </c>
    </row>
    <row r="154" customFormat="false" ht="15" hidden="false" customHeight="false" outlineLevel="0" collapsed="false">
      <c r="A154" s="3" t="s">
        <v>446</v>
      </c>
      <c r="B154" s="3" t="s">
        <v>166</v>
      </c>
      <c r="C154" s="3" t="s">
        <v>59</v>
      </c>
      <c r="D154" s="3" t="s">
        <v>37</v>
      </c>
      <c r="E154" s="3" t="s">
        <v>24</v>
      </c>
      <c r="F154" s="3" t="s">
        <v>38</v>
      </c>
      <c r="G154" s="3" t="s">
        <v>447</v>
      </c>
      <c r="H154" s="3" t="s">
        <v>27</v>
      </c>
    </row>
    <row r="155" customFormat="false" ht="15" hidden="false" customHeight="false" outlineLevel="0" collapsed="false">
      <c r="A155" s="3" t="s">
        <v>448</v>
      </c>
      <c r="B155" s="3" t="s">
        <v>449</v>
      </c>
      <c r="C155" s="3" t="s">
        <v>11</v>
      </c>
      <c r="D155" s="3" t="s">
        <v>150</v>
      </c>
      <c r="E155" s="3" t="s">
        <v>80</v>
      </c>
      <c r="F155" s="3" t="s">
        <v>151</v>
      </c>
      <c r="G155" s="3" t="s">
        <v>450</v>
      </c>
      <c r="H155" s="3" t="s">
        <v>27</v>
      </c>
    </row>
    <row r="156" customFormat="false" ht="15" hidden="false" customHeight="false" outlineLevel="0" collapsed="false">
      <c r="A156" s="3" t="s">
        <v>451</v>
      </c>
      <c r="B156" s="3" t="s">
        <v>452</v>
      </c>
      <c r="C156" s="3" t="s">
        <v>59</v>
      </c>
      <c r="D156" s="3" t="s">
        <v>103</v>
      </c>
      <c r="E156" s="3" t="s">
        <v>43</v>
      </c>
      <c r="F156" s="3" t="s">
        <v>104</v>
      </c>
      <c r="G156" s="3" t="s">
        <v>453</v>
      </c>
      <c r="H156" s="3" t="s">
        <v>34</v>
      </c>
    </row>
    <row r="157" customFormat="false" ht="15" hidden="false" customHeight="false" outlineLevel="0" collapsed="false">
      <c r="A157" s="3" t="s">
        <v>454</v>
      </c>
      <c r="B157" s="3" t="s">
        <v>455</v>
      </c>
      <c r="C157" s="3" t="s">
        <v>30</v>
      </c>
      <c r="D157" s="3" t="s">
        <v>53</v>
      </c>
      <c r="E157" s="3" t="s">
        <v>54</v>
      </c>
      <c r="F157" s="3" t="s">
        <v>55</v>
      </c>
      <c r="G157" s="3" t="s">
        <v>456</v>
      </c>
      <c r="H157" s="3" t="s">
        <v>40</v>
      </c>
    </row>
    <row r="158" customFormat="false" ht="15" hidden="false" customHeight="false" outlineLevel="0" collapsed="false">
      <c r="A158" s="3" t="s">
        <v>457</v>
      </c>
      <c r="B158" s="3" t="s">
        <v>458</v>
      </c>
      <c r="C158" s="3" t="s">
        <v>11</v>
      </c>
      <c r="D158" s="3" t="s">
        <v>130</v>
      </c>
      <c r="E158" s="3" t="s">
        <v>80</v>
      </c>
      <c r="F158" s="3" t="s">
        <v>131</v>
      </c>
      <c r="G158" s="3" t="s">
        <v>459</v>
      </c>
      <c r="H158" s="3" t="s">
        <v>45</v>
      </c>
    </row>
    <row r="159" customFormat="false" ht="15" hidden="false" customHeight="false" outlineLevel="0" collapsed="false">
      <c r="A159" s="3" t="s">
        <v>460</v>
      </c>
      <c r="B159" s="3" t="s">
        <v>461</v>
      </c>
      <c r="C159" s="3" t="s">
        <v>30</v>
      </c>
      <c r="D159" s="3" t="s">
        <v>74</v>
      </c>
      <c r="E159" s="3" t="s">
        <v>13</v>
      </c>
      <c r="F159" s="3" t="s">
        <v>75</v>
      </c>
      <c r="G159" s="3" t="s">
        <v>462</v>
      </c>
      <c r="H159" s="3" t="s">
        <v>27</v>
      </c>
    </row>
    <row r="160" customFormat="false" ht="15" hidden="false" customHeight="false" outlineLevel="0" collapsed="false">
      <c r="A160" s="3" t="s">
        <v>463</v>
      </c>
      <c r="B160" s="3" t="s">
        <v>172</v>
      </c>
      <c r="C160" s="3" t="s">
        <v>59</v>
      </c>
      <c r="D160" s="3" t="s">
        <v>130</v>
      </c>
      <c r="E160" s="3" t="s">
        <v>80</v>
      </c>
      <c r="F160" s="3" t="s">
        <v>131</v>
      </c>
      <c r="G160" s="3" t="s">
        <v>464</v>
      </c>
      <c r="H160" s="3" t="s">
        <v>16</v>
      </c>
    </row>
    <row r="161" customFormat="false" ht="15" hidden="false" customHeight="false" outlineLevel="0" collapsed="false">
      <c r="A161" s="3" t="s">
        <v>465</v>
      </c>
      <c r="B161" s="3" t="s">
        <v>109</v>
      </c>
      <c r="C161" s="3" t="s">
        <v>30</v>
      </c>
      <c r="D161" s="3" t="s">
        <v>175</v>
      </c>
      <c r="E161" s="3" t="s">
        <v>54</v>
      </c>
      <c r="F161" s="3" t="s">
        <v>176</v>
      </c>
      <c r="G161" s="3" t="s">
        <v>466</v>
      </c>
      <c r="H161" s="3" t="s">
        <v>16</v>
      </c>
    </row>
    <row r="162" customFormat="false" ht="15" hidden="false" customHeight="false" outlineLevel="0" collapsed="false">
      <c r="A162" s="3" t="s">
        <v>467</v>
      </c>
      <c r="B162" s="3" t="s">
        <v>468</v>
      </c>
      <c r="C162" s="3" t="s">
        <v>30</v>
      </c>
      <c r="D162" s="3" t="s">
        <v>23</v>
      </c>
      <c r="E162" s="3" t="s">
        <v>24</v>
      </c>
      <c r="F162" s="3" t="s">
        <v>25</v>
      </c>
      <c r="G162" s="3" t="s">
        <v>412</v>
      </c>
      <c r="H162" s="3" t="s">
        <v>27</v>
      </c>
    </row>
    <row r="163" customFormat="false" ht="15" hidden="false" customHeight="false" outlineLevel="0" collapsed="false">
      <c r="A163" s="3" t="s">
        <v>469</v>
      </c>
      <c r="B163" s="3" t="s">
        <v>169</v>
      </c>
      <c r="C163" s="3" t="s">
        <v>19</v>
      </c>
      <c r="D163" s="3" t="s">
        <v>175</v>
      </c>
      <c r="E163" s="3" t="s">
        <v>54</v>
      </c>
      <c r="F163" s="3" t="s">
        <v>176</v>
      </c>
      <c r="G163" s="3" t="s">
        <v>470</v>
      </c>
      <c r="H163" s="3" t="s">
        <v>34</v>
      </c>
    </row>
    <row r="164" customFormat="false" ht="15" hidden="false" customHeight="false" outlineLevel="0" collapsed="false">
      <c r="A164" s="3" t="s">
        <v>471</v>
      </c>
      <c r="B164" s="3" t="s">
        <v>472</v>
      </c>
      <c r="C164" s="3" t="s">
        <v>59</v>
      </c>
      <c r="D164" s="3" t="s">
        <v>53</v>
      </c>
      <c r="E164" s="3"/>
      <c r="F164" s="3" t="s">
        <v>55</v>
      </c>
      <c r="G164" s="3" t="s">
        <v>473</v>
      </c>
      <c r="H164" s="3" t="s">
        <v>40</v>
      </c>
    </row>
    <row r="165" customFormat="false" ht="15" hidden="false" customHeight="false" outlineLevel="0" collapsed="false">
      <c r="A165" s="3" t="s">
        <v>474</v>
      </c>
      <c r="B165" s="3" t="s">
        <v>475</v>
      </c>
      <c r="C165" s="3" t="s">
        <v>19</v>
      </c>
      <c r="D165" s="3" t="s">
        <v>74</v>
      </c>
      <c r="E165" s="3" t="s">
        <v>13</v>
      </c>
      <c r="F165" s="3" t="s">
        <v>75</v>
      </c>
      <c r="G165" s="3" t="s">
        <v>476</v>
      </c>
      <c r="H165" s="3" t="s">
        <v>40</v>
      </c>
    </row>
    <row r="166" customFormat="false" ht="15" hidden="false" customHeight="false" outlineLevel="0" collapsed="false">
      <c r="A166" s="3" t="s">
        <v>477</v>
      </c>
      <c r="B166" s="3" t="s">
        <v>478</v>
      </c>
      <c r="C166" s="3" t="s">
        <v>19</v>
      </c>
      <c r="D166" s="3" t="s">
        <v>23</v>
      </c>
      <c r="E166" s="3"/>
      <c r="F166" s="3" t="s">
        <v>25</v>
      </c>
      <c r="G166" s="3" t="s">
        <v>479</v>
      </c>
      <c r="H166" s="3" t="s">
        <v>16</v>
      </c>
    </row>
    <row r="167" customFormat="false" ht="15" hidden="false" customHeight="false" outlineLevel="0" collapsed="false">
      <c r="A167" s="3" t="s">
        <v>477</v>
      </c>
      <c r="B167" s="3" t="s">
        <v>478</v>
      </c>
      <c r="C167" s="3" t="s">
        <v>19</v>
      </c>
      <c r="D167" s="3" t="s">
        <v>23</v>
      </c>
      <c r="E167" s="3"/>
      <c r="F167" s="3" t="s">
        <v>25</v>
      </c>
      <c r="G167" s="3" t="s">
        <v>479</v>
      </c>
      <c r="H167" s="3" t="s">
        <v>16</v>
      </c>
    </row>
    <row r="168" customFormat="false" ht="15" hidden="false" customHeight="false" outlineLevel="0" collapsed="false">
      <c r="A168" s="3" t="s">
        <v>480</v>
      </c>
      <c r="B168" s="3" t="s">
        <v>481</v>
      </c>
      <c r="C168" s="3" t="s">
        <v>59</v>
      </c>
      <c r="D168" s="3" t="s">
        <v>48</v>
      </c>
      <c r="E168" s="3" t="s">
        <v>43</v>
      </c>
      <c r="F168" s="3" t="s">
        <v>49</v>
      </c>
      <c r="G168" s="3" t="s">
        <v>482</v>
      </c>
      <c r="H168" s="3" t="s">
        <v>16</v>
      </c>
    </row>
    <row r="169" customFormat="false" ht="15" hidden="false" customHeight="false" outlineLevel="0" collapsed="false">
      <c r="A169" s="3" t="s">
        <v>483</v>
      </c>
      <c r="B169" s="3" t="s">
        <v>484</v>
      </c>
      <c r="C169" s="3" t="s">
        <v>30</v>
      </c>
      <c r="D169" s="3" t="s">
        <v>103</v>
      </c>
      <c r="E169" s="3" t="s">
        <v>43</v>
      </c>
      <c r="F169" s="3" t="s">
        <v>104</v>
      </c>
      <c r="G169" s="3" t="s">
        <v>485</v>
      </c>
      <c r="H169" s="3" t="s">
        <v>45</v>
      </c>
    </row>
    <row r="170" customFormat="false" ht="15" hidden="false" customHeight="false" outlineLevel="0" collapsed="false">
      <c r="A170" s="3" t="s">
        <v>486</v>
      </c>
      <c r="B170" s="3" t="s">
        <v>484</v>
      </c>
      <c r="C170" s="3" t="s">
        <v>59</v>
      </c>
      <c r="D170" s="3" t="s">
        <v>23</v>
      </c>
      <c r="E170" s="3" t="s">
        <v>24</v>
      </c>
      <c r="F170" s="3" t="s">
        <v>25</v>
      </c>
      <c r="G170" s="3" t="s">
        <v>487</v>
      </c>
      <c r="H170" s="3" t="s">
        <v>34</v>
      </c>
    </row>
    <row r="171" customFormat="false" ht="15" hidden="false" customHeight="false" outlineLevel="0" collapsed="false">
      <c r="A171" s="3" t="s">
        <v>488</v>
      </c>
      <c r="B171" s="3" t="s">
        <v>489</v>
      </c>
      <c r="C171" s="3" t="s">
        <v>11</v>
      </c>
      <c r="D171" s="3" t="s">
        <v>138</v>
      </c>
      <c r="E171" s="3" t="s">
        <v>80</v>
      </c>
      <c r="F171" s="3" t="s">
        <v>139</v>
      </c>
      <c r="G171" s="3" t="s">
        <v>490</v>
      </c>
      <c r="H171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0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491</v>
      </c>
      <c r="G1" s="1" t="s">
        <v>6</v>
      </c>
      <c r="H1" s="1" t="s">
        <v>7</v>
      </c>
      <c r="I1" s="1" t="s">
        <v>492</v>
      </c>
      <c r="J1" s="1" t="s">
        <v>493</v>
      </c>
    </row>
    <row r="2" customFormat="false" ht="15" hidden="false" customHeight="false" outlineLevel="0" collapsed="false">
      <c r="A2" s="3" t="s">
        <v>9</v>
      </c>
      <c r="B2" s="4" t="n">
        <v>46085</v>
      </c>
      <c r="C2" s="3" t="s">
        <v>11</v>
      </c>
      <c r="D2" s="3" t="s">
        <v>12</v>
      </c>
      <c r="E2" s="3" t="s">
        <v>13</v>
      </c>
      <c r="F2" s="5" t="n">
        <v>850</v>
      </c>
      <c r="G2" s="5" t="n">
        <v>119</v>
      </c>
      <c r="H2" s="3" t="n">
        <v>1</v>
      </c>
      <c r="I2" s="5" t="n">
        <f aca="false">F2*H2</f>
        <v>850</v>
      </c>
      <c r="J2" s="6" t="n">
        <f aca="false">IF(I2=0,0,G2/I2)</f>
        <v>0.14</v>
      </c>
    </row>
    <row r="3" customFormat="false" ht="15" hidden="false" customHeight="false" outlineLevel="0" collapsed="false">
      <c r="A3" s="3" t="s">
        <v>17</v>
      </c>
      <c r="B3" s="4" t="n">
        <v>46082</v>
      </c>
      <c r="C3" s="3" t="s">
        <v>19</v>
      </c>
      <c r="D3" s="3" t="s">
        <v>12</v>
      </c>
      <c r="E3" s="3" t="s">
        <v>13</v>
      </c>
      <c r="F3" s="5" t="n">
        <v>850</v>
      </c>
      <c r="G3" s="5" t="n">
        <v>239.11</v>
      </c>
      <c r="H3" s="3" t="n">
        <v>1</v>
      </c>
      <c r="I3" s="5" t="n">
        <f aca="false">F3*H3</f>
        <v>850</v>
      </c>
      <c r="J3" s="6" t="n">
        <f aca="false">IF(I3=0,0,G3/I3)</f>
        <v>0.281305882352941</v>
      </c>
    </row>
    <row r="4" customFormat="false" ht="15" hidden="false" customHeight="false" outlineLevel="0" collapsed="false">
      <c r="A4" s="3" t="s">
        <v>21</v>
      </c>
      <c r="B4" s="4" t="n">
        <v>46024</v>
      </c>
      <c r="C4" s="3" t="s">
        <v>11</v>
      </c>
      <c r="D4" s="3" t="s">
        <v>23</v>
      </c>
      <c r="E4" s="3" t="s">
        <v>24</v>
      </c>
      <c r="F4" s="5" t="n">
        <v>20</v>
      </c>
      <c r="G4" s="5" t="n">
        <v>6.23</v>
      </c>
      <c r="H4" s="3" t="n">
        <v>2</v>
      </c>
      <c r="I4" s="5" t="n">
        <f aca="false">F4*H4</f>
        <v>40</v>
      </c>
      <c r="J4" s="6" t="n">
        <f aca="false">IF(I4=0,0,G4/I4)</f>
        <v>0.15575</v>
      </c>
    </row>
    <row r="5" customFormat="false" ht="15" hidden="false" customHeight="false" outlineLevel="0" collapsed="false">
      <c r="A5" s="3" t="s">
        <v>28</v>
      </c>
      <c r="B5" s="4" t="n">
        <v>46120</v>
      </c>
      <c r="C5" s="3" t="s">
        <v>30</v>
      </c>
      <c r="D5" s="3" t="s">
        <v>31</v>
      </c>
      <c r="E5" s="3" t="s">
        <v>43</v>
      </c>
      <c r="F5" s="5" t="n">
        <v>45</v>
      </c>
      <c r="G5" s="5" t="n">
        <v>50.78</v>
      </c>
      <c r="H5" s="3" t="n">
        <v>5</v>
      </c>
      <c r="I5" s="5" t="n">
        <f aca="false">F5*H5</f>
        <v>225</v>
      </c>
      <c r="J5" s="6" t="n">
        <f aca="false">IF(I5=0,0,G5/I5)</f>
        <v>0.225688888888889</v>
      </c>
    </row>
    <row r="6" customFormat="false" ht="15" hidden="false" customHeight="false" outlineLevel="0" collapsed="false">
      <c r="A6" s="3" t="s">
        <v>35</v>
      </c>
      <c r="B6" s="4" t="n">
        <v>46183</v>
      </c>
      <c r="C6" s="3" t="s">
        <v>11</v>
      </c>
      <c r="D6" s="3" t="s">
        <v>37</v>
      </c>
      <c r="E6" s="3" t="s">
        <v>24</v>
      </c>
      <c r="F6" s="5" t="n">
        <v>25</v>
      </c>
      <c r="G6" s="5" t="n">
        <v>9.79</v>
      </c>
      <c r="H6" s="3" t="n">
        <v>3</v>
      </c>
      <c r="I6" s="5" t="n">
        <f aca="false">F6*H6</f>
        <v>75</v>
      </c>
      <c r="J6" s="6" t="n">
        <f aca="false">IF(I6=0,0,G6/I6)</f>
        <v>0.130533333333333</v>
      </c>
    </row>
    <row r="7" customFormat="false" ht="15" hidden="false" customHeight="false" outlineLevel="0" collapsed="false">
      <c r="A7" s="3" t="s">
        <v>41</v>
      </c>
      <c r="B7" s="4" t="n">
        <v>46048</v>
      </c>
      <c r="C7" s="3" t="s">
        <v>19</v>
      </c>
      <c r="D7" s="3" t="s">
        <v>31</v>
      </c>
      <c r="E7" s="3" t="s">
        <v>43</v>
      </c>
      <c r="F7" s="5" t="n">
        <v>45</v>
      </c>
      <c r="G7" s="5" t="n">
        <v>36.93</v>
      </c>
      <c r="H7" s="3" t="n">
        <v>4</v>
      </c>
      <c r="I7" s="5" t="n">
        <f aca="false">F7*H7</f>
        <v>180</v>
      </c>
      <c r="J7" s="6" t="n">
        <f aca="false">IF(I7=0,0,G7/I7)</f>
        <v>0.205166666666667</v>
      </c>
    </row>
    <row r="8" customFormat="false" ht="15" hidden="false" customHeight="false" outlineLevel="0" collapsed="false">
      <c r="A8" s="3" t="s">
        <v>46</v>
      </c>
      <c r="B8" s="4" t="n">
        <v>46178</v>
      </c>
      <c r="C8" s="3" t="s">
        <v>30</v>
      </c>
      <c r="D8" s="3" t="s">
        <v>48</v>
      </c>
      <c r="E8" s="3" t="s">
        <v>43</v>
      </c>
      <c r="F8" s="5" t="n">
        <v>65</v>
      </c>
      <c r="G8" s="5" t="n">
        <v>67.36</v>
      </c>
      <c r="H8" s="3" t="n">
        <v>5</v>
      </c>
      <c r="I8" s="5" t="n">
        <f aca="false">F8*H8</f>
        <v>325</v>
      </c>
      <c r="J8" s="6" t="n">
        <f aca="false">IF(I8=0,0,G8/I8)</f>
        <v>0.207261538461538</v>
      </c>
    </row>
    <row r="9" customFormat="false" ht="15" hidden="false" customHeight="false" outlineLevel="0" collapsed="false">
      <c r="A9" s="3" t="s">
        <v>51</v>
      </c>
      <c r="B9" s="4" t="n">
        <v>46037</v>
      </c>
      <c r="C9" s="3" t="s">
        <v>11</v>
      </c>
      <c r="D9" s="3" t="s">
        <v>53</v>
      </c>
      <c r="E9" s="3" t="s">
        <v>54</v>
      </c>
      <c r="F9" s="5" t="n">
        <v>55</v>
      </c>
      <c r="G9" s="5" t="n">
        <v>54.45</v>
      </c>
      <c r="H9" s="3" t="n">
        <v>3</v>
      </c>
      <c r="I9" s="5" t="n">
        <f aca="false">F9*H9</f>
        <v>165</v>
      </c>
      <c r="J9" s="6" t="n">
        <f aca="false">IF(I9=0,0,G9/I9)</f>
        <v>0.33</v>
      </c>
    </row>
    <row r="10" customFormat="false" ht="15" hidden="false" customHeight="false" outlineLevel="0" collapsed="false">
      <c r="A10" s="3" t="s">
        <v>57</v>
      </c>
      <c r="B10" s="4" t="n">
        <v>46124</v>
      </c>
      <c r="C10" s="3" t="s">
        <v>59</v>
      </c>
      <c r="D10" s="3" t="s">
        <v>31</v>
      </c>
      <c r="E10" s="3" t="s">
        <v>43</v>
      </c>
      <c r="F10" s="5" t="n">
        <v>45</v>
      </c>
      <c r="G10" s="5" t="n">
        <v>47.72</v>
      </c>
      <c r="H10" s="3" t="n">
        <v>6</v>
      </c>
      <c r="I10" s="5" t="n">
        <f aca="false">F10*H10</f>
        <v>270</v>
      </c>
      <c r="J10" s="6" t="n">
        <f aca="false">IF(I10=0,0,G10/I10)</f>
        <v>0.176740740740741</v>
      </c>
    </row>
    <row r="11" customFormat="false" ht="15" hidden="false" customHeight="false" outlineLevel="0" collapsed="false">
      <c r="A11" s="3" t="s">
        <v>62</v>
      </c>
      <c r="B11" s="4" t="n">
        <v>46172</v>
      </c>
      <c r="C11" s="3" t="s">
        <v>59</v>
      </c>
      <c r="D11" s="3" t="s">
        <v>48</v>
      </c>
      <c r="E11" s="3" t="s">
        <v>43</v>
      </c>
      <c r="F11" s="5" t="n">
        <v>65</v>
      </c>
      <c r="G11" s="5" t="n">
        <v>30.36</v>
      </c>
      <c r="H11" s="3" t="n">
        <v>2</v>
      </c>
      <c r="I11" s="5" t="n">
        <f aca="false">F11*H11</f>
        <v>130</v>
      </c>
      <c r="J11" s="6" t="n">
        <f aca="false">IF(I11=0,0,G11/I11)</f>
        <v>0.233538461538462</v>
      </c>
    </row>
    <row r="12" customFormat="false" ht="15" hidden="false" customHeight="false" outlineLevel="0" collapsed="false">
      <c r="A12" s="3" t="s">
        <v>65</v>
      </c>
      <c r="B12" s="4" t="n">
        <v>46197</v>
      </c>
      <c r="C12" s="3" t="s">
        <v>19</v>
      </c>
      <c r="D12" s="3" t="s">
        <v>67</v>
      </c>
      <c r="E12" s="3" t="s">
        <v>13</v>
      </c>
      <c r="F12" s="5" t="n">
        <v>720</v>
      </c>
      <c r="G12" s="5" t="n">
        <v>163.91</v>
      </c>
      <c r="H12" s="3" t="n">
        <v>1</v>
      </c>
      <c r="I12" s="5" t="n">
        <f aca="false">F12*H12</f>
        <v>720</v>
      </c>
      <c r="J12" s="6" t="n">
        <f aca="false">IF(I12=0,0,G12/I12)</f>
        <v>0.227652777777778</v>
      </c>
    </row>
    <row r="13" customFormat="false" ht="15" hidden="false" customHeight="false" outlineLevel="0" collapsed="false">
      <c r="A13" s="3" t="s">
        <v>70</v>
      </c>
      <c r="B13" s="4" t="n">
        <v>46197</v>
      </c>
      <c r="C13" s="3" t="s">
        <v>30</v>
      </c>
      <c r="D13" s="3" t="s">
        <v>53</v>
      </c>
      <c r="E13" s="3" t="s">
        <v>54</v>
      </c>
      <c r="F13" s="5" t="n">
        <v>55</v>
      </c>
      <c r="G13" s="5" t="n">
        <v>30.94</v>
      </c>
      <c r="H13" s="3" t="n">
        <v>3</v>
      </c>
      <c r="I13" s="5" t="n">
        <f aca="false">F13*H13</f>
        <v>165</v>
      </c>
      <c r="J13" s="6" t="n">
        <f aca="false">IF(I13=0,0,G13/I13)</f>
        <v>0.187515151515152</v>
      </c>
    </row>
    <row r="14" customFormat="false" ht="15" hidden="false" customHeight="false" outlineLevel="0" collapsed="false">
      <c r="A14" s="3" t="s">
        <v>72</v>
      </c>
      <c r="B14" s="4" t="n">
        <v>46152</v>
      </c>
      <c r="C14" s="3" t="s">
        <v>19</v>
      </c>
      <c r="D14" s="3" t="s">
        <v>74</v>
      </c>
      <c r="E14" s="3" t="s">
        <v>13</v>
      </c>
      <c r="F14" s="5" t="n">
        <v>1200</v>
      </c>
      <c r="G14" s="5" t="n">
        <v>1872.45</v>
      </c>
      <c r="H14" s="3" t="n">
        <v>6</v>
      </c>
      <c r="I14" s="5" t="n">
        <f aca="false">F14*H14</f>
        <v>7200</v>
      </c>
      <c r="J14" s="6" t="n">
        <f aca="false">IF(I14=0,0,G14/I14)</f>
        <v>0.2600625</v>
      </c>
    </row>
    <row r="15" customFormat="false" ht="15" hidden="false" customHeight="false" outlineLevel="0" collapsed="false">
      <c r="A15" s="3" t="s">
        <v>77</v>
      </c>
      <c r="B15" s="4" t="n">
        <v>46148</v>
      </c>
      <c r="C15" s="3" t="s">
        <v>11</v>
      </c>
      <c r="D15" s="3" t="s">
        <v>79</v>
      </c>
      <c r="E15" s="3" t="s">
        <v>80</v>
      </c>
      <c r="F15" s="5" t="n">
        <v>620</v>
      </c>
      <c r="G15" s="5" t="n">
        <v>465.92</v>
      </c>
      <c r="H15" s="3" t="n">
        <v>3</v>
      </c>
      <c r="I15" s="5" t="n">
        <f aca="false">F15*H15</f>
        <v>1860</v>
      </c>
      <c r="J15" s="6" t="n">
        <f aca="false">IF(I15=0,0,G15/I15)</f>
        <v>0.250494623655914</v>
      </c>
    </row>
    <row r="16" customFormat="false" ht="15" hidden="false" customHeight="false" outlineLevel="0" collapsed="false">
      <c r="A16" s="3" t="s">
        <v>83</v>
      </c>
      <c r="B16" s="4" t="n">
        <v>46055</v>
      </c>
      <c r="C16" s="3" t="s">
        <v>19</v>
      </c>
      <c r="D16" s="3" t="s">
        <v>37</v>
      </c>
      <c r="E16" s="3" t="s">
        <v>24</v>
      </c>
      <c r="F16" s="5" t="n">
        <v>25</v>
      </c>
      <c r="G16" s="5" t="n">
        <v>32.44</v>
      </c>
      <c r="H16" s="3" t="n">
        <v>5</v>
      </c>
      <c r="I16" s="5" t="n">
        <f aca="false">F16*H16</f>
        <v>125</v>
      </c>
      <c r="J16" s="6" t="n">
        <f aca="false">IF(I16=0,0,G16/I16)</f>
        <v>0.25952</v>
      </c>
    </row>
    <row r="17" customFormat="false" ht="15" hidden="false" customHeight="false" outlineLevel="0" collapsed="false">
      <c r="A17" s="3" t="s">
        <v>86</v>
      </c>
      <c r="B17" s="4" t="n">
        <v>46125</v>
      </c>
      <c r="C17" s="3" t="s">
        <v>11</v>
      </c>
      <c r="D17" s="3" t="s">
        <v>53</v>
      </c>
      <c r="E17" s="3" t="s">
        <v>54</v>
      </c>
      <c r="F17" s="5" t="n">
        <v>55</v>
      </c>
      <c r="G17" s="5" t="n">
        <v>73.87</v>
      </c>
      <c r="H17" s="3" t="n">
        <v>6</v>
      </c>
      <c r="I17" s="5" t="n">
        <f aca="false">F17*H17</f>
        <v>330</v>
      </c>
      <c r="J17" s="6" t="n">
        <f aca="false">IF(I17=0,0,G17/I17)</f>
        <v>0.223848484848485</v>
      </c>
    </row>
    <row r="18" customFormat="false" ht="15" hidden="false" customHeight="false" outlineLevel="0" collapsed="false">
      <c r="A18" s="3" t="s">
        <v>89</v>
      </c>
      <c r="B18" s="4" t="n">
        <v>46173</v>
      </c>
      <c r="C18" s="3" t="s">
        <v>30</v>
      </c>
      <c r="D18" s="3" t="s">
        <v>74</v>
      </c>
      <c r="E18" s="3" t="s">
        <v>13</v>
      </c>
      <c r="F18" s="5" t="n">
        <v>1200</v>
      </c>
      <c r="G18" s="5" t="n">
        <v>1590.92</v>
      </c>
      <c r="H18" s="3" t="n">
        <v>5</v>
      </c>
      <c r="I18" s="5" t="n">
        <f aca="false">F18*H18</f>
        <v>6000</v>
      </c>
      <c r="J18" s="6" t="n">
        <f aca="false">IF(I18=0,0,G18/I18)</f>
        <v>0.265153333333333</v>
      </c>
    </row>
    <row r="19" customFormat="false" ht="15" hidden="false" customHeight="false" outlineLevel="0" collapsed="false">
      <c r="A19" s="3" t="s">
        <v>92</v>
      </c>
      <c r="B19" s="4" t="n">
        <v>46154</v>
      </c>
      <c r="C19" s="3" t="s">
        <v>30</v>
      </c>
      <c r="D19" s="3" t="s">
        <v>74</v>
      </c>
      <c r="E19" s="3" t="s">
        <v>13</v>
      </c>
      <c r="F19" s="5" t="n">
        <v>1200</v>
      </c>
      <c r="G19" s="5" t="n">
        <v>1608.81</v>
      </c>
      <c r="H19" s="3" t="n">
        <v>4</v>
      </c>
      <c r="I19" s="5" t="n">
        <f aca="false">F19*H19</f>
        <v>4800</v>
      </c>
      <c r="J19" s="6" t="n">
        <f aca="false">IF(I19=0,0,G19/I19)</f>
        <v>0.33516875</v>
      </c>
    </row>
    <row r="20" customFormat="false" ht="15" hidden="false" customHeight="false" outlineLevel="0" collapsed="false">
      <c r="A20" s="3" t="s">
        <v>95</v>
      </c>
      <c r="B20" s="4" t="n">
        <v>46127</v>
      </c>
      <c r="C20" s="3" t="s">
        <v>59</v>
      </c>
      <c r="D20" s="3" t="s">
        <v>37</v>
      </c>
      <c r="E20" s="3" t="s">
        <v>24</v>
      </c>
      <c r="F20" s="5" t="n">
        <v>25</v>
      </c>
      <c r="G20" s="5" t="n">
        <v>34.11</v>
      </c>
      <c r="H20" s="3" t="n">
        <v>6</v>
      </c>
      <c r="I20" s="5" t="n">
        <f aca="false">F20*H20</f>
        <v>150</v>
      </c>
      <c r="J20" s="6" t="n">
        <f aca="false">IF(I20=0,0,G20/I20)</f>
        <v>0.2274</v>
      </c>
    </row>
    <row r="21" customFormat="false" ht="15" hidden="false" customHeight="false" outlineLevel="0" collapsed="false">
      <c r="A21" s="3" t="s">
        <v>98</v>
      </c>
      <c r="B21" s="4" t="n">
        <v>46109</v>
      </c>
      <c r="C21" s="3" t="s">
        <v>59</v>
      </c>
      <c r="D21" s="3" t="s">
        <v>12</v>
      </c>
      <c r="E21" s="3" t="s">
        <v>13</v>
      </c>
      <c r="F21" s="5" t="n">
        <v>850</v>
      </c>
      <c r="G21" s="5" t="n">
        <v>189.7</v>
      </c>
      <c r="H21" s="3" t="n">
        <v>1</v>
      </c>
      <c r="I21" s="5" t="n">
        <f aca="false">F21*H21</f>
        <v>850</v>
      </c>
      <c r="J21" s="6" t="n">
        <f aca="false">IF(I21=0,0,G21/I21)</f>
        <v>0.223176470588235</v>
      </c>
    </row>
    <row r="22" customFormat="false" ht="15" hidden="false" customHeight="false" outlineLevel="0" collapsed="false">
      <c r="A22" s="3" t="s">
        <v>101</v>
      </c>
      <c r="B22" s="4" t="n">
        <v>46042</v>
      </c>
      <c r="C22" s="3" t="s">
        <v>19</v>
      </c>
      <c r="D22" s="3" t="s">
        <v>103</v>
      </c>
      <c r="E22" s="3" t="s">
        <v>43</v>
      </c>
      <c r="F22" s="5" t="n">
        <v>90</v>
      </c>
      <c r="G22" s="5" t="n">
        <v>109.95</v>
      </c>
      <c r="H22" s="3" t="n">
        <v>5</v>
      </c>
      <c r="I22" s="5" t="n">
        <f aca="false">F22*H22</f>
        <v>450</v>
      </c>
      <c r="J22" s="6" t="n">
        <f aca="false">IF(I22=0,0,G22/I22)</f>
        <v>0.244333333333333</v>
      </c>
    </row>
    <row r="23" customFormat="false" ht="15" hidden="false" customHeight="false" outlineLevel="0" collapsed="false">
      <c r="A23" s="3" t="s">
        <v>106</v>
      </c>
      <c r="B23" s="4" t="n">
        <v>46127</v>
      </c>
      <c r="C23" s="3" t="s">
        <v>19</v>
      </c>
      <c r="D23" s="3" t="s">
        <v>67</v>
      </c>
      <c r="E23" s="3" t="s">
        <v>13</v>
      </c>
      <c r="F23" s="5" t="n">
        <v>720</v>
      </c>
      <c r="G23" s="5" t="n">
        <v>227.33</v>
      </c>
      <c r="H23" s="3" t="n">
        <v>2</v>
      </c>
      <c r="I23" s="5" t="n">
        <f aca="false">F23*H23</f>
        <v>1440</v>
      </c>
      <c r="J23" s="6" t="n">
        <f aca="false">IF(I23=0,0,G23/I23)</f>
        <v>0.157868055555556</v>
      </c>
    </row>
    <row r="24" customFormat="false" ht="15" hidden="false" customHeight="false" outlineLevel="0" collapsed="false">
      <c r="A24" s="3" t="s">
        <v>108</v>
      </c>
      <c r="B24" s="4" t="n">
        <v>46096</v>
      </c>
      <c r="C24" s="3" t="s">
        <v>59</v>
      </c>
      <c r="D24" s="3" t="s">
        <v>110</v>
      </c>
      <c r="E24" s="3" t="s">
        <v>24</v>
      </c>
      <c r="F24" s="5" t="n">
        <v>12</v>
      </c>
      <c r="G24" s="5" t="n">
        <v>20.54</v>
      </c>
      <c r="H24" s="3" t="n">
        <v>6</v>
      </c>
      <c r="I24" s="5" t="n">
        <f aca="false">F24*H24</f>
        <v>72</v>
      </c>
      <c r="J24" s="6" t="n">
        <f aca="false">IF(I24=0,0,G24/I24)</f>
        <v>0.285277777777778</v>
      </c>
    </row>
    <row r="25" customFormat="false" ht="15" hidden="false" customHeight="false" outlineLevel="0" collapsed="false">
      <c r="A25" s="3" t="s">
        <v>113</v>
      </c>
      <c r="B25" s="4" t="n">
        <v>46171</v>
      </c>
      <c r="C25" s="3" t="s">
        <v>30</v>
      </c>
      <c r="D25" s="3" t="s">
        <v>31</v>
      </c>
      <c r="E25" s="3" t="s">
        <v>43</v>
      </c>
      <c r="F25" s="5" t="n">
        <v>45</v>
      </c>
      <c r="G25" s="5" t="n">
        <v>11.45</v>
      </c>
      <c r="H25" s="3" t="n">
        <v>1</v>
      </c>
      <c r="I25" s="5" t="n">
        <f aca="false">F25*H25</f>
        <v>45</v>
      </c>
      <c r="J25" s="6" t="n">
        <f aca="false">IF(I25=0,0,G25/I25)</f>
        <v>0.254444444444444</v>
      </c>
    </row>
    <row r="26" customFormat="false" ht="15" hidden="false" customHeight="false" outlineLevel="0" collapsed="false">
      <c r="A26" s="3" t="s">
        <v>116</v>
      </c>
      <c r="B26" s="4" t="n">
        <v>46153</v>
      </c>
      <c r="C26" s="3" t="s">
        <v>30</v>
      </c>
      <c r="D26" s="3" t="s">
        <v>53</v>
      </c>
      <c r="E26" s="3" t="s">
        <v>54</v>
      </c>
      <c r="F26" s="5" t="n">
        <v>55</v>
      </c>
      <c r="G26" s="5" t="n">
        <v>9.58</v>
      </c>
      <c r="H26" s="3" t="n">
        <v>1</v>
      </c>
      <c r="I26" s="5" t="n">
        <f aca="false">F26*H26</f>
        <v>55</v>
      </c>
      <c r="J26" s="6" t="n">
        <f aca="false">IF(I26=0,0,G26/I26)</f>
        <v>0.174181818181818</v>
      </c>
    </row>
    <row r="27" customFormat="false" ht="15" hidden="false" customHeight="false" outlineLevel="0" collapsed="false">
      <c r="A27" s="3" t="s">
        <v>119</v>
      </c>
      <c r="B27" s="4" t="n">
        <v>46181</v>
      </c>
      <c r="C27" s="3" t="s">
        <v>30</v>
      </c>
      <c r="D27" s="3" t="s">
        <v>53</v>
      </c>
      <c r="E27" s="3" t="s">
        <v>54</v>
      </c>
      <c r="F27" s="5" t="n">
        <v>55</v>
      </c>
      <c r="G27" s="5" t="n">
        <v>49.49</v>
      </c>
      <c r="H27" s="3" t="n">
        <v>5</v>
      </c>
      <c r="I27" s="5" t="n">
        <f aca="false">F27*H27</f>
        <v>275</v>
      </c>
      <c r="J27" s="6" t="n">
        <f aca="false">IF(I27=0,0,G27/I27)</f>
        <v>0.179963636363636</v>
      </c>
    </row>
    <row r="28" customFormat="false" ht="15" hidden="false" customHeight="false" outlineLevel="0" collapsed="false">
      <c r="A28" s="3" t="s">
        <v>122</v>
      </c>
      <c r="B28" s="4" t="n">
        <v>46124</v>
      </c>
      <c r="C28" s="3" t="s">
        <v>11</v>
      </c>
      <c r="D28" s="3" t="s">
        <v>31</v>
      </c>
      <c r="E28" s="3" t="s">
        <v>43</v>
      </c>
      <c r="F28" s="5" t="n">
        <v>45</v>
      </c>
      <c r="G28" s="5" t="n">
        <v>45.25</v>
      </c>
      <c r="H28" s="3" t="n">
        <v>3</v>
      </c>
      <c r="I28" s="5" t="n">
        <f aca="false">F28*H28</f>
        <v>135</v>
      </c>
      <c r="J28" s="6" t="n">
        <f aca="false">IF(I28=0,0,G28/I28)</f>
        <v>0.335185185185185</v>
      </c>
    </row>
    <row r="29" customFormat="false" ht="15" hidden="false" customHeight="false" outlineLevel="0" collapsed="false">
      <c r="A29" s="3" t="s">
        <v>125</v>
      </c>
      <c r="B29" s="4" t="n">
        <v>46160</v>
      </c>
      <c r="C29" s="3" t="s">
        <v>30</v>
      </c>
      <c r="D29" s="3" t="s">
        <v>53</v>
      </c>
      <c r="E29" s="3" t="s">
        <v>54</v>
      </c>
      <c r="F29" s="5" t="n">
        <v>55</v>
      </c>
      <c r="G29" s="5" t="n">
        <v>35.45</v>
      </c>
      <c r="H29" s="3" t="n">
        <v>2</v>
      </c>
      <c r="I29" s="5" t="n">
        <f aca="false">F29*H29</f>
        <v>110</v>
      </c>
      <c r="J29" s="6" t="n">
        <f aca="false">IF(I29=0,0,G29/I29)</f>
        <v>0.322272727272727</v>
      </c>
    </row>
    <row r="30" customFormat="false" ht="15" hidden="false" customHeight="false" outlineLevel="0" collapsed="false">
      <c r="A30" s="3" t="s">
        <v>128</v>
      </c>
      <c r="B30" s="4" t="n">
        <v>46179</v>
      </c>
      <c r="C30" s="3" t="s">
        <v>11</v>
      </c>
      <c r="D30" s="3" t="s">
        <v>130</v>
      </c>
      <c r="E30" s="3" t="s">
        <v>80</v>
      </c>
      <c r="F30" s="5" t="n">
        <v>780</v>
      </c>
      <c r="G30" s="5" t="n">
        <v>1158.57</v>
      </c>
      <c r="H30" s="3" t="n">
        <v>6</v>
      </c>
      <c r="I30" s="5" t="n">
        <f aca="false">F30*H30</f>
        <v>4680</v>
      </c>
      <c r="J30" s="6" t="n">
        <f aca="false">IF(I30=0,0,G30/I30)</f>
        <v>0.247557692307692</v>
      </c>
    </row>
    <row r="31" customFormat="false" ht="15" hidden="false" customHeight="false" outlineLevel="0" collapsed="false">
      <c r="A31" s="3" t="s">
        <v>133</v>
      </c>
      <c r="B31" s="4" t="n">
        <v>46052</v>
      </c>
      <c r="C31" s="3" t="s">
        <v>11</v>
      </c>
      <c r="D31" s="3" t="s">
        <v>67</v>
      </c>
      <c r="E31" s="3" t="s">
        <v>13</v>
      </c>
      <c r="F31" s="5" t="n">
        <v>720</v>
      </c>
      <c r="G31" s="5" t="n">
        <v>1119.36</v>
      </c>
      <c r="H31" s="3" t="n">
        <v>6</v>
      </c>
      <c r="I31" s="5" t="n">
        <f aca="false">F31*H31</f>
        <v>4320</v>
      </c>
      <c r="J31" s="6" t="n">
        <f aca="false">IF(I31=0,0,G31/I31)</f>
        <v>0.259111111111111</v>
      </c>
    </row>
    <row r="32" customFormat="false" ht="15" hidden="false" customHeight="false" outlineLevel="0" collapsed="false">
      <c r="A32" s="3" t="s">
        <v>136</v>
      </c>
      <c r="B32" s="4" t="n">
        <v>46087</v>
      </c>
      <c r="C32" s="3" t="s">
        <v>59</v>
      </c>
      <c r="D32" s="3" t="s">
        <v>138</v>
      </c>
      <c r="E32" s="3" t="s">
        <v>80</v>
      </c>
      <c r="F32" s="5" t="n">
        <v>310</v>
      </c>
      <c r="G32" s="5" t="n">
        <v>56.93</v>
      </c>
      <c r="H32" s="3" t="n">
        <v>1</v>
      </c>
      <c r="I32" s="5" t="n">
        <f aca="false">F32*H32</f>
        <v>310</v>
      </c>
      <c r="J32" s="6" t="n">
        <f aca="false">IF(I32=0,0,G32/I32)</f>
        <v>0.183645161290323</v>
      </c>
    </row>
    <row r="33" customFormat="false" ht="15" hidden="false" customHeight="false" outlineLevel="0" collapsed="false">
      <c r="A33" s="3" t="s">
        <v>141</v>
      </c>
      <c r="B33" s="4" t="n">
        <v>46136</v>
      </c>
      <c r="C33" s="3" t="s">
        <v>19</v>
      </c>
      <c r="D33" s="3" t="s">
        <v>138</v>
      </c>
      <c r="E33" s="3" t="s">
        <v>80</v>
      </c>
      <c r="F33" s="5" t="n">
        <v>310</v>
      </c>
      <c r="G33" s="5" t="n">
        <v>418.33</v>
      </c>
      <c r="H33" s="3" t="n">
        <v>4</v>
      </c>
      <c r="I33" s="5" t="n">
        <f aca="false">F33*H33</f>
        <v>1240</v>
      </c>
      <c r="J33" s="6" t="n">
        <f aca="false">IF(I33=0,0,G33/I33)</f>
        <v>0.337362903225806</v>
      </c>
    </row>
    <row r="34" customFormat="false" ht="15" hidden="false" customHeight="false" outlineLevel="0" collapsed="false">
      <c r="A34" s="3" t="s">
        <v>144</v>
      </c>
      <c r="B34" s="4" t="n">
        <v>46172</v>
      </c>
      <c r="C34" s="3" t="s">
        <v>11</v>
      </c>
      <c r="D34" s="3" t="s">
        <v>79</v>
      </c>
      <c r="E34" s="3" t="s">
        <v>80</v>
      </c>
      <c r="F34" s="5" t="n">
        <v>620</v>
      </c>
      <c r="G34" s="5" t="n">
        <v>810.38</v>
      </c>
      <c r="H34" s="3" t="n">
        <v>4</v>
      </c>
      <c r="I34" s="5" t="n">
        <f aca="false">F34*H34</f>
        <v>2480</v>
      </c>
      <c r="J34" s="6" t="n">
        <f aca="false">IF(I34=0,0,G34/I34)</f>
        <v>0.326766129032258</v>
      </c>
    </row>
    <row r="35" customFormat="false" ht="15" hidden="false" customHeight="false" outlineLevel="0" collapsed="false">
      <c r="A35" s="3" t="s">
        <v>146</v>
      </c>
      <c r="B35" s="4" t="n">
        <v>46197</v>
      </c>
      <c r="C35" s="3" t="s">
        <v>19</v>
      </c>
      <c r="D35" s="3" t="s">
        <v>74</v>
      </c>
      <c r="E35" s="3" t="s">
        <v>13</v>
      </c>
      <c r="F35" s="5" t="n">
        <v>1200</v>
      </c>
      <c r="G35" s="5" t="n">
        <v>768.48</v>
      </c>
      <c r="H35" s="3" t="n">
        <v>3</v>
      </c>
      <c r="I35" s="5" t="n">
        <f aca="false">F35*H35</f>
        <v>3600</v>
      </c>
      <c r="J35" s="6" t="n">
        <f aca="false">IF(I35=0,0,G35/I35)</f>
        <v>0.213466666666667</v>
      </c>
    </row>
    <row r="36" customFormat="false" ht="15" hidden="false" customHeight="false" outlineLevel="0" collapsed="false">
      <c r="A36" s="3" t="s">
        <v>148</v>
      </c>
      <c r="B36" s="4" t="n">
        <v>46068</v>
      </c>
      <c r="C36" s="3" t="s">
        <v>19</v>
      </c>
      <c r="D36" s="3" t="s">
        <v>150</v>
      </c>
      <c r="E36" s="3" t="s">
        <v>80</v>
      </c>
      <c r="F36" s="5" t="n">
        <v>590</v>
      </c>
      <c r="G36" s="5" t="n">
        <v>176.97</v>
      </c>
      <c r="H36" s="3" t="n">
        <v>1</v>
      </c>
      <c r="I36" s="5" t="n">
        <f aca="false">F36*H36</f>
        <v>590</v>
      </c>
      <c r="J36" s="6" t="n">
        <f aca="false">IF(I36=0,0,G36/I36)</f>
        <v>0.299949152542373</v>
      </c>
    </row>
    <row r="37" customFormat="false" ht="15" hidden="false" customHeight="false" outlineLevel="0" collapsed="false">
      <c r="A37" s="3" t="s">
        <v>153</v>
      </c>
      <c r="B37" s="4" t="n">
        <v>46202</v>
      </c>
      <c r="C37" s="3" t="s">
        <v>19</v>
      </c>
      <c r="D37" s="3" t="s">
        <v>138</v>
      </c>
      <c r="E37" s="3" t="s">
        <v>80</v>
      </c>
      <c r="F37" s="5" t="n">
        <v>310</v>
      </c>
      <c r="G37" s="5" t="n">
        <v>280.08</v>
      </c>
      <c r="H37" s="3" t="n">
        <v>4</v>
      </c>
      <c r="I37" s="5" t="n">
        <f aca="false">F37*H37</f>
        <v>1240</v>
      </c>
      <c r="J37" s="6" t="n">
        <f aca="false">IF(I37=0,0,G37/I37)</f>
        <v>0.225870967741935</v>
      </c>
    </row>
    <row r="38" customFormat="false" ht="15" hidden="false" customHeight="false" outlineLevel="0" collapsed="false">
      <c r="A38" s="3" t="s">
        <v>156</v>
      </c>
      <c r="B38" s="4" t="n">
        <v>46191</v>
      </c>
      <c r="C38" s="3" t="s">
        <v>30</v>
      </c>
      <c r="D38" s="3" t="s">
        <v>150</v>
      </c>
      <c r="E38" s="3" t="s">
        <v>80</v>
      </c>
      <c r="F38" s="5" t="n">
        <v>590</v>
      </c>
      <c r="G38" s="5" t="n">
        <v>326.03</v>
      </c>
      <c r="H38" s="3" t="n">
        <v>3</v>
      </c>
      <c r="I38" s="5" t="n">
        <f aca="false">F38*H38</f>
        <v>1770</v>
      </c>
      <c r="J38" s="6" t="n">
        <f aca="false">IF(I38=0,0,G38/I38)</f>
        <v>0.184197740112994</v>
      </c>
    </row>
    <row r="39" customFormat="false" ht="15" hidden="false" customHeight="false" outlineLevel="0" collapsed="false">
      <c r="A39" s="3" t="s">
        <v>159</v>
      </c>
      <c r="B39" s="4" t="n">
        <v>46030</v>
      </c>
      <c r="C39" s="3" t="s">
        <v>11</v>
      </c>
      <c r="D39" s="3" t="s">
        <v>23</v>
      </c>
      <c r="E39" s="3" t="s">
        <v>24</v>
      </c>
      <c r="F39" s="5" t="n">
        <v>20</v>
      </c>
      <c r="G39" s="5" t="n">
        <v>5.15</v>
      </c>
      <c r="H39" s="3" t="n">
        <v>2</v>
      </c>
      <c r="I39" s="5" t="n">
        <f aca="false">F39*H39</f>
        <v>40</v>
      </c>
      <c r="J39" s="6" t="n">
        <f aca="false">IF(I39=0,0,G39/I39)</f>
        <v>0.12875</v>
      </c>
    </row>
    <row r="40" customFormat="false" ht="15" hidden="false" customHeight="false" outlineLevel="0" collapsed="false">
      <c r="A40" s="3" t="s">
        <v>162</v>
      </c>
      <c r="B40" s="4" t="n">
        <v>46134</v>
      </c>
      <c r="C40" s="3" t="s">
        <v>11</v>
      </c>
      <c r="D40" s="3" t="s">
        <v>48</v>
      </c>
      <c r="E40" s="3" t="s">
        <v>43</v>
      </c>
      <c r="F40" s="5" t="n">
        <v>65</v>
      </c>
      <c r="G40" s="5" t="n">
        <v>53.21</v>
      </c>
      <c r="H40" s="3" t="n">
        <v>5</v>
      </c>
      <c r="I40" s="5" t="n">
        <f aca="false">F40*H40</f>
        <v>325</v>
      </c>
      <c r="J40" s="6" t="n">
        <f aca="false">IF(I40=0,0,G40/I40)</f>
        <v>0.163723076923077</v>
      </c>
    </row>
    <row r="41" customFormat="false" ht="15" hidden="false" customHeight="false" outlineLevel="0" collapsed="false">
      <c r="A41" s="3" t="s">
        <v>165</v>
      </c>
      <c r="B41" s="4" t="n">
        <v>46116</v>
      </c>
      <c r="C41" s="3" t="s">
        <v>19</v>
      </c>
      <c r="D41" s="3" t="s">
        <v>37</v>
      </c>
      <c r="E41" s="3" t="s">
        <v>24</v>
      </c>
      <c r="F41" s="5" t="n">
        <v>25</v>
      </c>
      <c r="G41" s="5" t="n">
        <v>40.89</v>
      </c>
      <c r="H41" s="3" t="n">
        <v>6</v>
      </c>
      <c r="I41" s="5" t="n">
        <f aca="false">F41*H41</f>
        <v>150</v>
      </c>
      <c r="J41" s="6" t="n">
        <f aca="false">IF(I41=0,0,G41/I41)</f>
        <v>0.2726</v>
      </c>
    </row>
    <row r="42" customFormat="false" ht="15" hidden="false" customHeight="false" outlineLevel="0" collapsed="false">
      <c r="A42" s="3" t="s">
        <v>168</v>
      </c>
      <c r="B42" s="4" t="n">
        <v>46193</v>
      </c>
      <c r="C42" s="3" t="s">
        <v>11</v>
      </c>
      <c r="D42" s="3" t="s">
        <v>48</v>
      </c>
      <c r="E42" s="3" t="s">
        <v>43</v>
      </c>
      <c r="F42" s="5" t="n">
        <v>65</v>
      </c>
      <c r="G42" s="5" t="n">
        <v>42.67</v>
      </c>
      <c r="H42" s="3" t="n">
        <v>4</v>
      </c>
      <c r="I42" s="5" t="n">
        <f aca="false">F42*H42</f>
        <v>260</v>
      </c>
      <c r="J42" s="6" t="n">
        <f aca="false">IF(I42=0,0,G42/I42)</f>
        <v>0.164115384615385</v>
      </c>
    </row>
    <row r="43" customFormat="false" ht="15" hidden="false" customHeight="false" outlineLevel="0" collapsed="false">
      <c r="A43" s="3" t="s">
        <v>171</v>
      </c>
      <c r="B43" s="4" t="n">
        <v>46180</v>
      </c>
      <c r="C43" s="3" t="s">
        <v>19</v>
      </c>
      <c r="D43" s="3" t="s">
        <v>23</v>
      </c>
      <c r="E43" s="3" t="s">
        <v>24</v>
      </c>
      <c r="F43" s="5" t="n">
        <v>20</v>
      </c>
      <c r="G43" s="5" t="n">
        <v>14.88</v>
      </c>
      <c r="H43" s="3" t="n">
        <v>4</v>
      </c>
      <c r="I43" s="5" t="n">
        <f aca="false">F43*H43</f>
        <v>80</v>
      </c>
      <c r="J43" s="6" t="n">
        <f aca="false">IF(I43=0,0,G43/I43)</f>
        <v>0.186</v>
      </c>
    </row>
    <row r="44" customFormat="false" ht="15" hidden="false" customHeight="false" outlineLevel="0" collapsed="false">
      <c r="A44" s="3" t="s">
        <v>174</v>
      </c>
      <c r="B44" s="4" t="n">
        <v>46136</v>
      </c>
      <c r="C44" s="3" t="s">
        <v>59</v>
      </c>
      <c r="D44" s="3" t="s">
        <v>175</v>
      </c>
      <c r="E44" s="3" t="s">
        <v>54</v>
      </c>
      <c r="F44" s="5" t="n">
        <v>130</v>
      </c>
      <c r="G44" s="5" t="n">
        <v>88.6</v>
      </c>
      <c r="H44" s="3" t="n">
        <v>2</v>
      </c>
      <c r="I44" s="5" t="n">
        <f aca="false">F44*H44</f>
        <v>260</v>
      </c>
      <c r="J44" s="6" t="n">
        <f aca="false">IF(I44=0,0,G44/I44)</f>
        <v>0.340769230769231</v>
      </c>
    </row>
    <row r="45" customFormat="false" ht="15" hidden="false" customHeight="false" outlineLevel="0" collapsed="false">
      <c r="A45" s="3" t="s">
        <v>178</v>
      </c>
      <c r="B45" s="4" t="n">
        <v>46046</v>
      </c>
      <c r="C45" s="3" t="s">
        <v>11</v>
      </c>
      <c r="D45" s="3" t="s">
        <v>74</v>
      </c>
      <c r="E45" s="3" t="s">
        <v>13</v>
      </c>
      <c r="F45" s="5" t="n">
        <v>1200</v>
      </c>
      <c r="G45" s="5" t="n">
        <v>397.92</v>
      </c>
      <c r="H45" s="3" t="n">
        <v>2</v>
      </c>
      <c r="I45" s="5" t="n">
        <f aca="false">F45*H45</f>
        <v>2400</v>
      </c>
      <c r="J45" s="6" t="n">
        <f aca="false">IF(I45=0,0,G45/I45)</f>
        <v>0.1658</v>
      </c>
    </row>
    <row r="46" customFormat="false" ht="15" hidden="false" customHeight="false" outlineLevel="0" collapsed="false">
      <c r="A46" s="3" t="s">
        <v>181</v>
      </c>
      <c r="B46" s="4" t="n">
        <v>46139</v>
      </c>
      <c r="C46" s="3" t="s">
        <v>30</v>
      </c>
      <c r="D46" s="3" t="s">
        <v>130</v>
      </c>
      <c r="E46" s="3" t="s">
        <v>80</v>
      </c>
      <c r="F46" s="5" t="n">
        <v>780</v>
      </c>
      <c r="G46" s="5" t="n">
        <v>974.91</v>
      </c>
      <c r="H46" s="3" t="n">
        <v>6</v>
      </c>
      <c r="I46" s="5" t="n">
        <f aca="false">F46*H46</f>
        <v>4680</v>
      </c>
      <c r="J46" s="6" t="n">
        <f aca="false">IF(I46=0,0,G46/I46)</f>
        <v>0.208314102564103</v>
      </c>
    </row>
    <row r="47" customFormat="false" ht="15" hidden="false" customHeight="false" outlineLevel="0" collapsed="false">
      <c r="A47" s="3" t="s">
        <v>184</v>
      </c>
      <c r="B47" s="4" t="n">
        <v>46131</v>
      </c>
      <c r="C47" s="3" t="s">
        <v>30</v>
      </c>
      <c r="D47" s="3" t="s">
        <v>79</v>
      </c>
      <c r="E47" s="3" t="s">
        <v>80</v>
      </c>
      <c r="F47" s="5" t="n">
        <v>620</v>
      </c>
      <c r="G47" s="5" t="n">
        <v>1026.16</v>
      </c>
      <c r="H47" s="3" t="n">
        <v>5</v>
      </c>
      <c r="I47" s="5" t="n">
        <f aca="false">F47*H47</f>
        <v>3100</v>
      </c>
      <c r="J47" s="6" t="n">
        <f aca="false">IF(I47=0,0,G47/I47)</f>
        <v>0.33101935483871</v>
      </c>
    </row>
    <row r="48" customFormat="false" ht="15" hidden="false" customHeight="false" outlineLevel="0" collapsed="false">
      <c r="A48" s="3" t="s">
        <v>187</v>
      </c>
      <c r="B48" s="4" t="n">
        <v>46136</v>
      </c>
      <c r="C48" s="3" t="s">
        <v>11</v>
      </c>
      <c r="D48" s="3" t="s">
        <v>130</v>
      </c>
      <c r="E48" s="3" t="s">
        <v>80</v>
      </c>
      <c r="F48" s="5" t="n">
        <v>780</v>
      </c>
      <c r="G48" s="5" t="n">
        <v>1537.74</v>
      </c>
      <c r="H48" s="3" t="n">
        <v>6</v>
      </c>
      <c r="I48" s="5" t="n">
        <f aca="false">F48*H48</f>
        <v>4680</v>
      </c>
      <c r="J48" s="6" t="n">
        <f aca="false">IF(I48=0,0,G48/I48)</f>
        <v>0.328576923076923</v>
      </c>
    </row>
    <row r="49" customFormat="false" ht="15" hidden="false" customHeight="false" outlineLevel="0" collapsed="false">
      <c r="A49" s="3" t="s">
        <v>189</v>
      </c>
      <c r="B49" s="4" t="n">
        <v>46089</v>
      </c>
      <c r="C49" s="3" t="s">
        <v>59</v>
      </c>
      <c r="D49" s="3" t="s">
        <v>130</v>
      </c>
      <c r="E49" s="3" t="s">
        <v>80</v>
      </c>
      <c r="F49" s="5" t="n">
        <v>780</v>
      </c>
      <c r="G49" s="5" t="n">
        <v>1083.22</v>
      </c>
      <c r="H49" s="3" t="n">
        <v>6</v>
      </c>
      <c r="I49" s="5" t="n">
        <f aca="false">F49*H49</f>
        <v>4680</v>
      </c>
      <c r="J49" s="6" t="n">
        <f aca="false">IF(I49=0,0,G49/I49)</f>
        <v>0.231457264957265</v>
      </c>
    </row>
    <row r="50" customFormat="false" ht="15" hidden="false" customHeight="false" outlineLevel="0" collapsed="false">
      <c r="A50" s="3" t="s">
        <v>192</v>
      </c>
      <c r="B50" s="4" t="n">
        <v>46083</v>
      </c>
      <c r="C50" s="3" t="s">
        <v>11</v>
      </c>
      <c r="D50" s="3" t="s">
        <v>37</v>
      </c>
      <c r="E50" s="3" t="s">
        <v>24</v>
      </c>
      <c r="F50" s="5" t="n">
        <v>25</v>
      </c>
      <c r="G50" s="5" t="n">
        <v>11.6</v>
      </c>
      <c r="H50" s="3" t="n">
        <v>3</v>
      </c>
      <c r="I50" s="5" t="n">
        <f aca="false">F50*H50</f>
        <v>75</v>
      </c>
      <c r="J50" s="6" t="n">
        <f aca="false">IF(I50=0,0,G50/I50)</f>
        <v>0.154666666666667</v>
      </c>
    </row>
    <row r="51" customFormat="false" ht="15" hidden="false" customHeight="false" outlineLevel="0" collapsed="false">
      <c r="A51" s="3" t="s">
        <v>195</v>
      </c>
      <c r="B51" s="4" t="n">
        <v>46129</v>
      </c>
      <c r="C51" s="3" t="s">
        <v>30</v>
      </c>
      <c r="D51" s="3" t="s">
        <v>150</v>
      </c>
      <c r="E51" s="3" t="s">
        <v>80</v>
      </c>
      <c r="F51" s="5" t="n">
        <v>590</v>
      </c>
      <c r="G51" s="5" t="n">
        <v>919.12</v>
      </c>
      <c r="H51" s="3" t="n">
        <v>5</v>
      </c>
      <c r="I51" s="5" t="n">
        <f aca="false">F51*H51</f>
        <v>2950</v>
      </c>
      <c r="J51" s="6" t="n">
        <f aca="false">IF(I51=0,0,G51/I51)</f>
        <v>0.311566101694915</v>
      </c>
    </row>
    <row r="52" customFormat="false" ht="15" hidden="false" customHeight="false" outlineLevel="0" collapsed="false">
      <c r="A52" s="3" t="s">
        <v>198</v>
      </c>
      <c r="B52" s="4" t="n">
        <v>46145</v>
      </c>
      <c r="C52" s="3" t="s">
        <v>59</v>
      </c>
      <c r="D52" s="3" t="s">
        <v>53</v>
      </c>
      <c r="E52" s="3" t="s">
        <v>54</v>
      </c>
      <c r="F52" s="5" t="n">
        <v>55</v>
      </c>
      <c r="G52" s="5" t="n">
        <v>55.98</v>
      </c>
      <c r="H52" s="3" t="n">
        <v>3</v>
      </c>
      <c r="I52" s="5" t="n">
        <f aca="false">F52*H52</f>
        <v>165</v>
      </c>
      <c r="J52" s="6" t="n">
        <f aca="false">IF(I52=0,0,G52/I52)</f>
        <v>0.339272727272727</v>
      </c>
    </row>
    <row r="53" customFormat="false" ht="15" hidden="false" customHeight="false" outlineLevel="0" collapsed="false">
      <c r="A53" s="3" t="s">
        <v>201</v>
      </c>
      <c r="B53" s="4" t="n">
        <v>46079</v>
      </c>
      <c r="C53" s="3" t="s">
        <v>11</v>
      </c>
      <c r="D53" s="3" t="s">
        <v>53</v>
      </c>
      <c r="E53" s="3" t="s">
        <v>54</v>
      </c>
      <c r="F53" s="5" t="n">
        <v>55</v>
      </c>
      <c r="G53" s="5" t="n">
        <v>60.76</v>
      </c>
      <c r="H53" s="3" t="n">
        <v>4</v>
      </c>
      <c r="I53" s="5" t="n">
        <f aca="false">F53*H53</f>
        <v>220</v>
      </c>
      <c r="J53" s="6" t="n">
        <f aca="false">IF(I53=0,0,G53/I53)</f>
        <v>0.276181818181818</v>
      </c>
    </row>
    <row r="54" customFormat="false" ht="15" hidden="false" customHeight="false" outlineLevel="0" collapsed="false">
      <c r="A54" s="3" t="s">
        <v>204</v>
      </c>
      <c r="B54" s="4" t="n">
        <v>46182</v>
      </c>
      <c r="C54" s="3" t="s">
        <v>19</v>
      </c>
      <c r="D54" s="3" t="s">
        <v>130</v>
      </c>
      <c r="E54" s="3" t="s">
        <v>80</v>
      </c>
      <c r="F54" s="5" t="n">
        <v>780</v>
      </c>
      <c r="G54" s="5" t="n">
        <v>434.64</v>
      </c>
      <c r="H54" s="3" t="n">
        <v>4</v>
      </c>
      <c r="I54" s="5" t="n">
        <f aca="false">F54*H54</f>
        <v>3120</v>
      </c>
      <c r="J54" s="6" t="n">
        <f aca="false">IF(I54=0,0,G54/I54)</f>
        <v>0.139307692307692</v>
      </c>
    </row>
    <row r="55" customFormat="false" ht="15" hidden="false" customHeight="false" outlineLevel="0" collapsed="false">
      <c r="A55" s="3" t="s">
        <v>207</v>
      </c>
      <c r="B55" s="4" t="n">
        <v>46089</v>
      </c>
      <c r="C55" s="3" t="s">
        <v>30</v>
      </c>
      <c r="D55" s="3" t="s">
        <v>37</v>
      </c>
      <c r="E55" s="3" t="s">
        <v>24</v>
      </c>
      <c r="F55" s="5" t="n">
        <v>25</v>
      </c>
      <c r="G55" s="5" t="n">
        <v>16.12</v>
      </c>
      <c r="H55" s="3" t="n">
        <v>2</v>
      </c>
      <c r="I55" s="5" t="n">
        <f aca="false">F55*H55</f>
        <v>50</v>
      </c>
      <c r="J55" s="6" t="n">
        <f aca="false">IF(I55=0,0,G55/I55)</f>
        <v>0.3224</v>
      </c>
    </row>
    <row r="56" customFormat="false" ht="15" hidden="false" customHeight="false" outlineLevel="0" collapsed="false">
      <c r="A56" s="3" t="s">
        <v>209</v>
      </c>
      <c r="B56" s="4" t="n">
        <v>46143</v>
      </c>
      <c r="C56" s="3" t="s">
        <v>30</v>
      </c>
      <c r="D56" s="3" t="s">
        <v>110</v>
      </c>
      <c r="E56" s="3" t="s">
        <v>24</v>
      </c>
      <c r="F56" s="5" t="n">
        <v>12</v>
      </c>
      <c r="G56" s="5" t="n">
        <v>3.23</v>
      </c>
      <c r="H56" s="3" t="n">
        <v>1</v>
      </c>
      <c r="I56" s="5" t="n">
        <f aca="false">F56*H56</f>
        <v>12</v>
      </c>
      <c r="J56" s="6" t="n">
        <f aca="false">IF(I56=0,0,G56/I56)</f>
        <v>0.269166666666667</v>
      </c>
    </row>
    <row r="57" customFormat="false" ht="15" hidden="false" customHeight="false" outlineLevel="0" collapsed="false">
      <c r="A57" s="3" t="s">
        <v>212</v>
      </c>
      <c r="B57" s="4" t="n">
        <v>46074</v>
      </c>
      <c r="C57" s="3" t="s">
        <v>19</v>
      </c>
      <c r="D57" s="3" t="s">
        <v>12</v>
      </c>
      <c r="E57" s="3" t="s">
        <v>13</v>
      </c>
      <c r="F57" s="5" t="n">
        <v>850</v>
      </c>
      <c r="G57" s="5" t="n">
        <v>1164.4</v>
      </c>
      <c r="H57" s="3" t="n">
        <v>5</v>
      </c>
      <c r="I57" s="5" t="n">
        <f aca="false">F57*H57</f>
        <v>4250</v>
      </c>
      <c r="J57" s="6" t="n">
        <f aca="false">IF(I57=0,0,G57/I57)</f>
        <v>0.273976470588235</v>
      </c>
    </row>
    <row r="58" customFormat="false" ht="15" hidden="false" customHeight="false" outlineLevel="0" collapsed="false">
      <c r="A58" s="3" t="s">
        <v>215</v>
      </c>
      <c r="B58" s="4" t="n">
        <v>46117</v>
      </c>
      <c r="C58" s="3" t="s">
        <v>11</v>
      </c>
      <c r="D58" s="3" t="s">
        <v>130</v>
      </c>
      <c r="E58" s="3" t="s">
        <v>80</v>
      </c>
      <c r="F58" s="5" t="n">
        <v>780</v>
      </c>
      <c r="G58" s="5" t="n">
        <v>737.88</v>
      </c>
      <c r="H58" s="3" t="n">
        <v>6</v>
      </c>
      <c r="I58" s="5" t="n">
        <f aca="false">F58*H58</f>
        <v>4680</v>
      </c>
      <c r="J58" s="6" t="n">
        <f aca="false">IF(I58=0,0,G58/I58)</f>
        <v>0.157666666666667</v>
      </c>
    </row>
    <row r="59" customFormat="false" ht="15" hidden="false" customHeight="false" outlineLevel="0" collapsed="false">
      <c r="A59" s="3" t="s">
        <v>218</v>
      </c>
      <c r="B59" s="4" t="n">
        <v>46170</v>
      </c>
      <c r="C59" s="3" t="s">
        <v>11</v>
      </c>
      <c r="D59" s="3" t="s">
        <v>53</v>
      </c>
      <c r="E59" s="3" t="s">
        <v>54</v>
      </c>
      <c r="F59" s="5" t="n">
        <v>55</v>
      </c>
      <c r="G59" s="5" t="n">
        <v>30.25</v>
      </c>
      <c r="H59" s="3" t="n">
        <v>4</v>
      </c>
      <c r="I59" s="5" t="n">
        <f aca="false">F59*H59</f>
        <v>220</v>
      </c>
      <c r="J59" s="6" t="n">
        <f aca="false">IF(I59=0,0,G59/I59)</f>
        <v>0.1375</v>
      </c>
    </row>
    <row r="60" customFormat="false" ht="15" hidden="false" customHeight="false" outlineLevel="0" collapsed="false">
      <c r="A60" s="3" t="s">
        <v>221</v>
      </c>
      <c r="B60" s="4" t="n">
        <v>46198</v>
      </c>
      <c r="C60" s="3" t="s">
        <v>11</v>
      </c>
      <c r="D60" s="3" t="s">
        <v>79</v>
      </c>
      <c r="E60" s="3" t="s">
        <v>80</v>
      </c>
      <c r="F60" s="5" t="n">
        <v>620</v>
      </c>
      <c r="G60" s="5" t="n">
        <v>80.26</v>
      </c>
      <c r="H60" s="3" t="n">
        <v>1</v>
      </c>
      <c r="I60" s="5" t="n">
        <f aca="false">F60*H60</f>
        <v>620</v>
      </c>
      <c r="J60" s="6" t="n">
        <f aca="false">IF(I60=0,0,G60/I60)</f>
        <v>0.129451612903226</v>
      </c>
    </row>
    <row r="61" customFormat="false" ht="15" hidden="false" customHeight="false" outlineLevel="0" collapsed="false">
      <c r="A61" s="3" t="s">
        <v>224</v>
      </c>
      <c r="B61" s="4" t="n">
        <v>46026</v>
      </c>
      <c r="C61" s="3" t="s">
        <v>11</v>
      </c>
      <c r="D61" s="3" t="s">
        <v>31</v>
      </c>
      <c r="E61" s="3" t="s">
        <v>43</v>
      </c>
      <c r="F61" s="5" t="n">
        <v>45</v>
      </c>
      <c r="G61" s="5" t="n">
        <v>47.91</v>
      </c>
      <c r="H61" s="3" t="n">
        <v>4</v>
      </c>
      <c r="I61" s="5" t="n">
        <f aca="false">F61*H61</f>
        <v>180</v>
      </c>
      <c r="J61" s="6" t="n">
        <f aca="false">IF(I61=0,0,G61/I61)</f>
        <v>0.266166666666667</v>
      </c>
    </row>
    <row r="62" customFormat="false" ht="15" hidden="false" customHeight="false" outlineLevel="0" collapsed="false">
      <c r="A62" s="3" t="s">
        <v>227</v>
      </c>
      <c r="B62" s="4" t="n">
        <v>46156</v>
      </c>
      <c r="C62" s="3" t="s">
        <v>19</v>
      </c>
      <c r="D62" s="3" t="s">
        <v>130</v>
      </c>
      <c r="E62" s="3" t="s">
        <v>80</v>
      </c>
      <c r="F62" s="5" t="n">
        <v>780</v>
      </c>
      <c r="G62" s="5" t="n">
        <v>697.71</v>
      </c>
      <c r="H62" s="3" t="n">
        <v>3</v>
      </c>
      <c r="I62" s="5" t="n">
        <f aca="false">F62*H62</f>
        <v>2340</v>
      </c>
      <c r="J62" s="6" t="n">
        <f aca="false">IF(I62=0,0,G62/I62)</f>
        <v>0.298166666666667</v>
      </c>
    </row>
    <row r="63" customFormat="false" ht="15" hidden="false" customHeight="false" outlineLevel="0" collapsed="false">
      <c r="A63" s="3" t="s">
        <v>230</v>
      </c>
      <c r="B63" s="4" t="n">
        <v>46085</v>
      </c>
      <c r="C63" s="3" t="s">
        <v>11</v>
      </c>
      <c r="D63" s="3" t="s">
        <v>175</v>
      </c>
      <c r="E63" s="3" t="s">
        <v>54</v>
      </c>
      <c r="F63" s="5" t="n">
        <v>130</v>
      </c>
      <c r="G63" s="5" t="n">
        <v>38.04</v>
      </c>
      <c r="H63" s="3" t="n">
        <v>1</v>
      </c>
      <c r="I63" s="5" t="n">
        <f aca="false">F63*H63</f>
        <v>130</v>
      </c>
      <c r="J63" s="6" t="n">
        <f aca="false">IF(I63=0,0,G63/I63)</f>
        <v>0.292615384615385</v>
      </c>
    </row>
    <row r="64" customFormat="false" ht="15" hidden="false" customHeight="false" outlineLevel="0" collapsed="false">
      <c r="A64" s="3" t="s">
        <v>233</v>
      </c>
      <c r="B64" s="4" t="n">
        <v>46149</v>
      </c>
      <c r="C64" s="3" t="s">
        <v>30</v>
      </c>
      <c r="D64" s="3" t="s">
        <v>110</v>
      </c>
      <c r="E64" s="3" t="s">
        <v>24</v>
      </c>
      <c r="F64" s="5" t="n">
        <v>12</v>
      </c>
      <c r="G64" s="5" t="n">
        <v>4.31</v>
      </c>
      <c r="H64" s="3" t="n">
        <v>2</v>
      </c>
      <c r="I64" s="5" t="n">
        <f aca="false">F64*H64</f>
        <v>24</v>
      </c>
      <c r="J64" s="6" t="n">
        <f aca="false">IF(I64=0,0,G64/I64)</f>
        <v>0.179583333333333</v>
      </c>
    </row>
    <row r="65" customFormat="false" ht="15" hidden="false" customHeight="false" outlineLevel="0" collapsed="false">
      <c r="A65" s="3" t="s">
        <v>236</v>
      </c>
      <c r="B65" s="4" t="n">
        <v>46155</v>
      </c>
      <c r="C65" s="3" t="s">
        <v>30</v>
      </c>
      <c r="D65" s="3" t="s">
        <v>175</v>
      </c>
      <c r="E65" s="3" t="s">
        <v>54</v>
      </c>
      <c r="F65" s="5" t="n">
        <v>130</v>
      </c>
      <c r="G65" s="5" t="n">
        <v>32.2</v>
      </c>
      <c r="H65" s="3" t="n">
        <v>1</v>
      </c>
      <c r="I65" s="5" t="n">
        <f aca="false">F65*H65</f>
        <v>130</v>
      </c>
      <c r="J65" s="6" t="n">
        <f aca="false">IF(I65=0,0,G65/I65)</f>
        <v>0.247692307692308</v>
      </c>
    </row>
    <row r="66" customFormat="false" ht="15" hidden="false" customHeight="false" outlineLevel="0" collapsed="false">
      <c r="A66" s="3" t="s">
        <v>239</v>
      </c>
      <c r="B66" s="4" t="n">
        <v>46137</v>
      </c>
      <c r="C66" s="3" t="s">
        <v>59</v>
      </c>
      <c r="D66" s="3" t="s">
        <v>23</v>
      </c>
      <c r="E66" s="3" t="s">
        <v>24</v>
      </c>
      <c r="F66" s="5" t="n">
        <v>20</v>
      </c>
      <c r="G66" s="5" t="n">
        <v>3.52</v>
      </c>
      <c r="H66" s="3" t="n">
        <v>1</v>
      </c>
      <c r="I66" s="5" t="n">
        <f aca="false">F66*H66</f>
        <v>20</v>
      </c>
      <c r="J66" s="6" t="n">
        <f aca="false">IF(I66=0,0,G66/I66)</f>
        <v>0.176</v>
      </c>
    </row>
    <row r="67" customFormat="false" ht="15" hidden="false" customHeight="false" outlineLevel="0" collapsed="false">
      <c r="A67" s="3" t="s">
        <v>242</v>
      </c>
      <c r="B67" s="4" t="n">
        <v>46131</v>
      </c>
      <c r="C67" s="3" t="s">
        <v>11</v>
      </c>
      <c r="D67" s="3" t="s">
        <v>103</v>
      </c>
      <c r="E67" s="3" t="s">
        <v>43</v>
      </c>
      <c r="F67" s="5" t="n">
        <v>90</v>
      </c>
      <c r="G67" s="5" t="n">
        <v>82.04</v>
      </c>
      <c r="H67" s="3" t="n">
        <v>5</v>
      </c>
      <c r="I67" s="5" t="n">
        <f aca="false">F67*H67</f>
        <v>450</v>
      </c>
      <c r="J67" s="6" t="n">
        <f aca="false">IF(I67=0,0,G67/I67)</f>
        <v>0.182311111111111</v>
      </c>
    </row>
    <row r="68" customFormat="false" ht="15" hidden="false" customHeight="false" outlineLevel="0" collapsed="false">
      <c r="A68" s="3" t="s">
        <v>245</v>
      </c>
      <c r="B68" s="4" t="n">
        <v>46053</v>
      </c>
      <c r="C68" s="3" t="s">
        <v>11</v>
      </c>
      <c r="D68" s="3" t="s">
        <v>67</v>
      </c>
      <c r="E68" s="3" t="s">
        <v>13</v>
      </c>
      <c r="F68" s="5" t="n">
        <v>720</v>
      </c>
      <c r="G68" s="5" t="n">
        <v>999.5</v>
      </c>
      <c r="H68" s="3" t="n">
        <v>6</v>
      </c>
      <c r="I68" s="5" t="n">
        <f aca="false">F68*H68</f>
        <v>4320</v>
      </c>
      <c r="J68" s="6" t="n">
        <f aca="false">IF(I68=0,0,G68/I68)</f>
        <v>0.231365740740741</v>
      </c>
    </row>
    <row r="69" customFormat="false" ht="15" hidden="false" customHeight="false" outlineLevel="0" collapsed="false">
      <c r="A69" s="3" t="s">
        <v>248</v>
      </c>
      <c r="B69" s="4" t="n">
        <v>46072</v>
      </c>
      <c r="C69" s="3" t="s">
        <v>30</v>
      </c>
      <c r="D69" s="3" t="s">
        <v>175</v>
      </c>
      <c r="E69" s="3" t="s">
        <v>54</v>
      </c>
      <c r="F69" s="5" t="n">
        <v>130</v>
      </c>
      <c r="G69" s="5" t="n">
        <v>94.71</v>
      </c>
      <c r="H69" s="3" t="n">
        <v>3</v>
      </c>
      <c r="I69" s="5" t="n">
        <f aca="false">F69*H69</f>
        <v>390</v>
      </c>
      <c r="J69" s="6" t="n">
        <f aca="false">IF(I69=0,0,G69/I69)</f>
        <v>0.242846153846154</v>
      </c>
    </row>
    <row r="70" customFormat="false" ht="15" hidden="false" customHeight="false" outlineLevel="0" collapsed="false">
      <c r="A70" s="3" t="s">
        <v>251</v>
      </c>
      <c r="B70" s="4" t="n">
        <v>46186</v>
      </c>
      <c r="C70" s="3" t="s">
        <v>19</v>
      </c>
      <c r="D70" s="3" t="s">
        <v>74</v>
      </c>
      <c r="E70" s="3" t="s">
        <v>13</v>
      </c>
      <c r="F70" s="5" t="n">
        <v>1200</v>
      </c>
      <c r="G70" s="5" t="n">
        <v>889.91</v>
      </c>
      <c r="H70" s="3" t="n">
        <v>4</v>
      </c>
      <c r="I70" s="5" t="n">
        <f aca="false">F70*H70</f>
        <v>4800</v>
      </c>
      <c r="J70" s="6" t="n">
        <f aca="false">IF(I70=0,0,G70/I70)</f>
        <v>0.185397916666667</v>
      </c>
    </row>
    <row r="71" customFormat="false" ht="15" hidden="false" customHeight="false" outlineLevel="0" collapsed="false">
      <c r="A71" s="3" t="s">
        <v>254</v>
      </c>
      <c r="B71" s="4" t="n">
        <v>46087</v>
      </c>
      <c r="C71" s="3" t="s">
        <v>30</v>
      </c>
      <c r="D71" s="3" t="s">
        <v>31</v>
      </c>
      <c r="E71" s="3" t="s">
        <v>43</v>
      </c>
      <c r="F71" s="5" t="n">
        <v>45</v>
      </c>
      <c r="G71" s="5" t="n">
        <v>41.96</v>
      </c>
      <c r="H71" s="3" t="n">
        <v>4</v>
      </c>
      <c r="I71" s="5" t="n">
        <f aca="false">F71*H71</f>
        <v>180</v>
      </c>
      <c r="J71" s="6" t="n">
        <f aca="false">IF(I71=0,0,G71/I71)</f>
        <v>0.233111111111111</v>
      </c>
    </row>
    <row r="72" customFormat="false" ht="15" hidden="false" customHeight="false" outlineLevel="0" collapsed="false">
      <c r="A72" s="3" t="s">
        <v>256</v>
      </c>
      <c r="B72" s="4" t="n">
        <v>46167</v>
      </c>
      <c r="C72" s="3" t="s">
        <v>19</v>
      </c>
      <c r="D72" s="3" t="s">
        <v>67</v>
      </c>
      <c r="E72" s="3" t="s">
        <v>13</v>
      </c>
      <c r="F72" s="5" t="n">
        <v>720</v>
      </c>
      <c r="G72" s="5" t="n">
        <v>212.99</v>
      </c>
      <c r="H72" s="3" t="n">
        <v>1</v>
      </c>
      <c r="I72" s="5" t="n">
        <f aca="false">F72*H72</f>
        <v>720</v>
      </c>
      <c r="J72" s="6" t="n">
        <f aca="false">IF(I72=0,0,G72/I72)</f>
        <v>0.295819444444444</v>
      </c>
    </row>
    <row r="73" customFormat="false" ht="15" hidden="false" customHeight="false" outlineLevel="0" collapsed="false">
      <c r="A73" s="3" t="s">
        <v>259</v>
      </c>
      <c r="B73" s="4" t="n">
        <v>46138</v>
      </c>
      <c r="C73" s="3" t="s">
        <v>59</v>
      </c>
      <c r="D73" s="3" t="s">
        <v>53</v>
      </c>
      <c r="E73" s="3" t="s">
        <v>54</v>
      </c>
      <c r="F73" s="5" t="n">
        <v>55</v>
      </c>
      <c r="G73" s="5" t="n">
        <v>31.39</v>
      </c>
      <c r="H73" s="3" t="n">
        <v>3</v>
      </c>
      <c r="I73" s="5" t="n">
        <f aca="false">F73*H73</f>
        <v>165</v>
      </c>
      <c r="J73" s="6" t="n">
        <f aca="false">IF(I73=0,0,G73/I73)</f>
        <v>0.190242424242424</v>
      </c>
    </row>
    <row r="74" customFormat="false" ht="15" hidden="false" customHeight="false" outlineLevel="0" collapsed="false">
      <c r="A74" s="3" t="s">
        <v>262</v>
      </c>
      <c r="B74" s="4" t="n">
        <v>46183</v>
      </c>
      <c r="C74" s="3" t="s">
        <v>19</v>
      </c>
      <c r="D74" s="3" t="s">
        <v>53</v>
      </c>
      <c r="E74" s="3" t="s">
        <v>54</v>
      </c>
      <c r="F74" s="5" t="n">
        <v>55</v>
      </c>
      <c r="G74" s="5" t="n">
        <v>7.55</v>
      </c>
      <c r="H74" s="3" t="n">
        <v>1</v>
      </c>
      <c r="I74" s="5" t="n">
        <f aca="false">F74*H74</f>
        <v>55</v>
      </c>
      <c r="J74" s="6" t="n">
        <f aca="false">IF(I74=0,0,G74/I74)</f>
        <v>0.137272727272727</v>
      </c>
    </row>
    <row r="75" customFormat="false" ht="15" hidden="false" customHeight="false" outlineLevel="0" collapsed="false">
      <c r="A75" s="3" t="s">
        <v>265</v>
      </c>
      <c r="B75" s="4" t="n">
        <v>46097</v>
      </c>
      <c r="C75" s="3" t="s">
        <v>59</v>
      </c>
      <c r="D75" s="3" t="s">
        <v>23</v>
      </c>
      <c r="E75" s="3" t="s">
        <v>24</v>
      </c>
      <c r="F75" s="5" t="n">
        <v>20</v>
      </c>
      <c r="G75" s="5" t="n">
        <v>16.36</v>
      </c>
      <c r="H75" s="3" t="n">
        <v>6</v>
      </c>
      <c r="I75" s="5" t="n">
        <f aca="false">F75*H75</f>
        <v>120</v>
      </c>
      <c r="J75" s="6" t="n">
        <f aca="false">IF(I75=0,0,G75/I75)</f>
        <v>0.136333333333333</v>
      </c>
    </row>
    <row r="76" customFormat="false" ht="15" hidden="false" customHeight="false" outlineLevel="0" collapsed="false">
      <c r="A76" s="3" t="s">
        <v>268</v>
      </c>
      <c r="B76" s="4" t="n">
        <v>46131</v>
      </c>
      <c r="C76" s="3" t="s">
        <v>19</v>
      </c>
      <c r="D76" s="3" t="s">
        <v>48</v>
      </c>
      <c r="E76" s="3" t="s">
        <v>43</v>
      </c>
      <c r="F76" s="5" t="n">
        <v>65</v>
      </c>
      <c r="G76" s="5" t="n">
        <v>59.56</v>
      </c>
      <c r="H76" s="3" t="n">
        <v>6</v>
      </c>
      <c r="I76" s="5" t="n">
        <f aca="false">F76*H76</f>
        <v>390</v>
      </c>
      <c r="J76" s="6" t="n">
        <f aca="false">IF(I76=0,0,G76/I76)</f>
        <v>0.152717948717949</v>
      </c>
    </row>
    <row r="77" customFormat="false" ht="15" hidden="false" customHeight="false" outlineLevel="0" collapsed="false">
      <c r="A77" s="3" t="s">
        <v>270</v>
      </c>
      <c r="B77" s="4" t="n">
        <v>46135</v>
      </c>
      <c r="C77" s="3" t="s">
        <v>11</v>
      </c>
      <c r="D77" s="3" t="s">
        <v>48</v>
      </c>
      <c r="E77" s="3" t="s">
        <v>43</v>
      </c>
      <c r="F77" s="5" t="n">
        <v>65</v>
      </c>
      <c r="G77" s="5" t="n">
        <v>45.85</v>
      </c>
      <c r="H77" s="3" t="n">
        <v>3</v>
      </c>
      <c r="I77" s="5" t="n">
        <f aca="false">F77*H77</f>
        <v>195</v>
      </c>
      <c r="J77" s="6" t="n">
        <f aca="false">IF(I77=0,0,G77/I77)</f>
        <v>0.235128205128205</v>
      </c>
    </row>
    <row r="78" customFormat="false" ht="15" hidden="false" customHeight="false" outlineLevel="0" collapsed="false">
      <c r="A78" s="3" t="s">
        <v>273</v>
      </c>
      <c r="B78" s="4" t="n">
        <v>46105</v>
      </c>
      <c r="C78" s="3" t="s">
        <v>59</v>
      </c>
      <c r="D78" s="3" t="s">
        <v>12</v>
      </c>
      <c r="E78" s="3" t="s">
        <v>13</v>
      </c>
      <c r="F78" s="5" t="n">
        <v>850</v>
      </c>
      <c r="G78" s="5" t="n">
        <v>265.43</v>
      </c>
      <c r="H78" s="3" t="n">
        <v>1</v>
      </c>
      <c r="I78" s="5" t="n">
        <f aca="false">F78*H78</f>
        <v>850</v>
      </c>
      <c r="J78" s="6" t="n">
        <f aca="false">IF(I78=0,0,G78/I78)</f>
        <v>0.312270588235294</v>
      </c>
    </row>
    <row r="79" customFormat="false" ht="15" hidden="false" customHeight="false" outlineLevel="0" collapsed="false">
      <c r="A79" s="3" t="s">
        <v>276</v>
      </c>
      <c r="B79" s="4" t="n">
        <v>46067</v>
      </c>
      <c r="C79" s="3" t="s">
        <v>30</v>
      </c>
      <c r="D79" s="3" t="s">
        <v>74</v>
      </c>
      <c r="E79" s="3" t="s">
        <v>13</v>
      </c>
      <c r="F79" s="5" t="n">
        <v>1200</v>
      </c>
      <c r="G79" s="5" t="n">
        <v>2514.94</v>
      </c>
      <c r="H79" s="3" t="n">
        <v>6</v>
      </c>
      <c r="I79" s="5" t="n">
        <f aca="false">F79*H79</f>
        <v>7200</v>
      </c>
      <c r="J79" s="6" t="n">
        <f aca="false">IF(I79=0,0,G79/I79)</f>
        <v>0.349297222222222</v>
      </c>
    </row>
    <row r="80" customFormat="false" ht="15" hidden="false" customHeight="false" outlineLevel="0" collapsed="false">
      <c r="A80" s="3" t="s">
        <v>279</v>
      </c>
      <c r="B80" s="4" t="n">
        <v>46112</v>
      </c>
      <c r="C80" s="3" t="s">
        <v>59</v>
      </c>
      <c r="D80" s="3" t="s">
        <v>37</v>
      </c>
      <c r="E80" s="3" t="s">
        <v>24</v>
      </c>
      <c r="F80" s="5" t="n">
        <v>25</v>
      </c>
      <c r="G80" s="5" t="n">
        <v>14.69</v>
      </c>
      <c r="H80" s="3" t="n">
        <v>3</v>
      </c>
      <c r="I80" s="5" t="n">
        <f aca="false">F80*H80</f>
        <v>75</v>
      </c>
      <c r="J80" s="6" t="n">
        <f aca="false">IF(I80=0,0,G80/I80)</f>
        <v>0.195866666666667</v>
      </c>
    </row>
    <row r="81" customFormat="false" ht="15" hidden="false" customHeight="false" outlineLevel="0" collapsed="false">
      <c r="A81" s="3" t="s">
        <v>282</v>
      </c>
      <c r="B81" s="4" t="n">
        <v>46163</v>
      </c>
      <c r="C81" s="3" t="s">
        <v>59</v>
      </c>
      <c r="D81" s="3" t="s">
        <v>48</v>
      </c>
      <c r="E81" s="3" t="s">
        <v>43</v>
      </c>
      <c r="F81" s="5" t="n">
        <v>65</v>
      </c>
      <c r="G81" s="5" t="n">
        <v>58.05</v>
      </c>
      <c r="H81" s="3" t="n">
        <v>3</v>
      </c>
      <c r="I81" s="5" t="n">
        <f aca="false">F81*H81</f>
        <v>195</v>
      </c>
      <c r="J81" s="6" t="n">
        <f aca="false">IF(I81=0,0,G81/I81)</f>
        <v>0.297692307692308</v>
      </c>
    </row>
    <row r="82" customFormat="false" ht="15" hidden="false" customHeight="false" outlineLevel="0" collapsed="false">
      <c r="A82" s="3" t="s">
        <v>285</v>
      </c>
      <c r="B82" s="4" t="n">
        <v>46036</v>
      </c>
      <c r="C82" s="3" t="s">
        <v>59</v>
      </c>
      <c r="D82" s="3" t="s">
        <v>287</v>
      </c>
      <c r="E82" s="3" t="s">
        <v>13</v>
      </c>
      <c r="F82" s="5" t="n">
        <v>980</v>
      </c>
      <c r="G82" s="5" t="n">
        <v>1444.51</v>
      </c>
      <c r="H82" s="3" t="n">
        <v>5</v>
      </c>
      <c r="I82" s="5" t="n">
        <f aca="false">F82*H82</f>
        <v>4900</v>
      </c>
      <c r="J82" s="6" t="n">
        <f aca="false">IF(I82=0,0,G82/I82)</f>
        <v>0.294797959183673</v>
      </c>
    </row>
    <row r="83" customFormat="false" ht="15" hidden="false" customHeight="false" outlineLevel="0" collapsed="false">
      <c r="A83" s="3" t="s">
        <v>290</v>
      </c>
      <c r="B83" s="4" t="n">
        <v>46135</v>
      </c>
      <c r="C83" s="3" t="s">
        <v>11</v>
      </c>
      <c r="D83" s="3" t="s">
        <v>53</v>
      </c>
      <c r="E83" s="3" t="s">
        <v>54</v>
      </c>
      <c r="F83" s="5" t="n">
        <v>55</v>
      </c>
      <c r="G83" s="5" t="n">
        <v>57.21</v>
      </c>
      <c r="H83" s="3" t="n">
        <v>4</v>
      </c>
      <c r="I83" s="5" t="n">
        <f aca="false">F83*H83</f>
        <v>220</v>
      </c>
      <c r="J83" s="6" t="n">
        <f aca="false">IF(I83=0,0,G83/I83)</f>
        <v>0.260045454545455</v>
      </c>
    </row>
    <row r="84" customFormat="false" ht="15" hidden="false" customHeight="false" outlineLevel="0" collapsed="false">
      <c r="A84" s="3" t="s">
        <v>293</v>
      </c>
      <c r="B84" s="4" t="n">
        <v>46164</v>
      </c>
      <c r="C84" s="3" t="s">
        <v>30</v>
      </c>
      <c r="D84" s="3" t="s">
        <v>138</v>
      </c>
      <c r="E84" s="3" t="s">
        <v>80</v>
      </c>
      <c r="F84" s="5" t="n">
        <v>310</v>
      </c>
      <c r="G84" s="5" t="n">
        <v>140.2</v>
      </c>
      <c r="H84" s="3" t="n">
        <v>2</v>
      </c>
      <c r="I84" s="5" t="n">
        <f aca="false">F84*H84</f>
        <v>620</v>
      </c>
      <c r="J84" s="6" t="n">
        <f aca="false">IF(I84=0,0,G84/I84)</f>
        <v>0.226129032258065</v>
      </c>
    </row>
    <row r="85" customFormat="false" ht="15" hidden="false" customHeight="false" outlineLevel="0" collapsed="false">
      <c r="A85" s="3" t="s">
        <v>296</v>
      </c>
      <c r="B85" s="4" t="n">
        <v>46153</v>
      </c>
      <c r="C85" s="3" t="s">
        <v>11</v>
      </c>
      <c r="D85" s="3" t="s">
        <v>130</v>
      </c>
      <c r="E85" s="3" t="s">
        <v>80</v>
      </c>
      <c r="F85" s="5" t="n">
        <v>780</v>
      </c>
      <c r="G85" s="5" t="n">
        <v>549.3</v>
      </c>
      <c r="H85" s="3" t="n">
        <v>4</v>
      </c>
      <c r="I85" s="5" t="n">
        <f aca="false">F85*H85</f>
        <v>3120</v>
      </c>
      <c r="J85" s="6" t="n">
        <f aca="false">IF(I85=0,0,G85/I85)</f>
        <v>0.176057692307692</v>
      </c>
    </row>
    <row r="86" customFormat="false" ht="15" hidden="false" customHeight="false" outlineLevel="0" collapsed="false">
      <c r="A86" s="3" t="s">
        <v>298</v>
      </c>
      <c r="B86" s="4" t="n">
        <v>46040</v>
      </c>
      <c r="C86" s="3" t="s">
        <v>19</v>
      </c>
      <c r="D86" s="3" t="s">
        <v>37</v>
      </c>
      <c r="E86" s="3" t="s">
        <v>24</v>
      </c>
      <c r="F86" s="5" t="n">
        <v>25</v>
      </c>
      <c r="G86" s="5" t="n">
        <v>18.14</v>
      </c>
      <c r="H86" s="3" t="n">
        <v>4</v>
      </c>
      <c r="I86" s="5" t="n">
        <f aca="false">F86*H86</f>
        <v>100</v>
      </c>
      <c r="J86" s="6" t="n">
        <f aca="false">IF(I86=0,0,G86/I86)</f>
        <v>0.1814</v>
      </c>
    </row>
    <row r="87" customFormat="false" ht="15" hidden="false" customHeight="false" outlineLevel="0" collapsed="false">
      <c r="A87" s="3" t="s">
        <v>301</v>
      </c>
      <c r="B87" s="4" t="n">
        <v>46061</v>
      </c>
      <c r="C87" s="3" t="s">
        <v>59</v>
      </c>
      <c r="D87" s="3" t="s">
        <v>48</v>
      </c>
      <c r="E87" s="3" t="s">
        <v>43</v>
      </c>
      <c r="F87" s="5" t="n">
        <v>65</v>
      </c>
      <c r="G87" s="5" t="n">
        <v>63.7</v>
      </c>
      <c r="H87" s="3" t="n">
        <v>4</v>
      </c>
      <c r="I87" s="5" t="n">
        <f aca="false">F87*H87</f>
        <v>260</v>
      </c>
      <c r="J87" s="6" t="n">
        <f aca="false">IF(I87=0,0,G87/I87)</f>
        <v>0.245</v>
      </c>
    </row>
    <row r="88" customFormat="false" ht="15" hidden="false" customHeight="false" outlineLevel="0" collapsed="false">
      <c r="A88" s="3" t="s">
        <v>304</v>
      </c>
      <c r="B88" s="4" t="n">
        <v>46169</v>
      </c>
      <c r="C88" s="3" t="s">
        <v>11</v>
      </c>
      <c r="D88" s="3" t="s">
        <v>31</v>
      </c>
      <c r="E88" s="3" t="s">
        <v>43</v>
      </c>
      <c r="F88" s="5" t="n">
        <v>45</v>
      </c>
      <c r="G88" s="5" t="n">
        <v>50.8</v>
      </c>
      <c r="H88" s="3" t="n">
        <v>4</v>
      </c>
      <c r="I88" s="5" t="n">
        <f aca="false">F88*H88</f>
        <v>180</v>
      </c>
      <c r="J88" s="6" t="n">
        <f aca="false">IF(I88=0,0,G88/I88)</f>
        <v>0.282222222222222</v>
      </c>
    </row>
    <row r="89" customFormat="false" ht="15" hidden="false" customHeight="false" outlineLevel="0" collapsed="false">
      <c r="A89" s="3" t="s">
        <v>307</v>
      </c>
      <c r="B89" s="4" t="n">
        <v>46149</v>
      </c>
      <c r="C89" s="3" t="s">
        <v>19</v>
      </c>
      <c r="D89" s="3" t="s">
        <v>23</v>
      </c>
      <c r="E89" s="3" t="s">
        <v>24</v>
      </c>
      <c r="F89" s="5" t="n">
        <v>20</v>
      </c>
      <c r="G89" s="5" t="n">
        <v>12.8</v>
      </c>
      <c r="H89" s="3" t="n">
        <v>2</v>
      </c>
      <c r="I89" s="5" t="n">
        <f aca="false">F89*H89</f>
        <v>40</v>
      </c>
      <c r="J89" s="6" t="n">
        <f aca="false">IF(I89=0,0,G89/I89)</f>
        <v>0.32</v>
      </c>
    </row>
    <row r="90" customFormat="false" ht="15" hidden="false" customHeight="false" outlineLevel="0" collapsed="false">
      <c r="A90" s="3" t="s">
        <v>309</v>
      </c>
      <c r="B90" s="4" t="n">
        <v>46026</v>
      </c>
      <c r="C90" s="3" t="s">
        <v>59</v>
      </c>
      <c r="D90" s="3" t="s">
        <v>37</v>
      </c>
      <c r="E90" s="3" t="s">
        <v>24</v>
      </c>
      <c r="F90" s="5" t="n">
        <v>25</v>
      </c>
      <c r="G90" s="5" t="n">
        <v>13.72</v>
      </c>
      <c r="H90" s="3" t="n">
        <v>4</v>
      </c>
      <c r="I90" s="5" t="n">
        <f aca="false">F90*H90</f>
        <v>100</v>
      </c>
      <c r="J90" s="6" t="n">
        <f aca="false">IF(I90=0,0,G90/I90)</f>
        <v>0.1372</v>
      </c>
    </row>
    <row r="91" customFormat="false" ht="15" hidden="false" customHeight="false" outlineLevel="0" collapsed="false">
      <c r="A91" s="3" t="s">
        <v>311</v>
      </c>
      <c r="B91" s="4" t="n">
        <v>46189</v>
      </c>
      <c r="C91" s="3" t="s">
        <v>59</v>
      </c>
      <c r="D91" s="3" t="s">
        <v>103</v>
      </c>
      <c r="E91" s="3" t="s">
        <v>43</v>
      </c>
      <c r="F91" s="5" t="n">
        <v>90</v>
      </c>
      <c r="G91" s="5" t="n">
        <v>104.13</v>
      </c>
      <c r="H91" s="3" t="n">
        <v>6</v>
      </c>
      <c r="I91" s="5" t="n">
        <f aca="false">F91*H91</f>
        <v>540</v>
      </c>
      <c r="J91" s="6" t="n">
        <f aca="false">IF(I91=0,0,G91/I91)</f>
        <v>0.192833333333333</v>
      </c>
    </row>
    <row r="92" customFormat="false" ht="15" hidden="false" customHeight="false" outlineLevel="0" collapsed="false">
      <c r="A92" s="3" t="s">
        <v>314</v>
      </c>
      <c r="B92" s="4" t="n">
        <v>46181</v>
      </c>
      <c r="C92" s="3" t="s">
        <v>30</v>
      </c>
      <c r="D92" s="3" t="s">
        <v>23</v>
      </c>
      <c r="E92" s="3" t="s">
        <v>24</v>
      </c>
      <c r="F92" s="5" t="n">
        <v>20</v>
      </c>
      <c r="G92" s="5" t="n">
        <v>35.01</v>
      </c>
      <c r="H92" s="3" t="n">
        <v>6</v>
      </c>
      <c r="I92" s="5" t="n">
        <f aca="false">F92*H92</f>
        <v>120</v>
      </c>
      <c r="J92" s="6" t="n">
        <f aca="false">IF(I92=0,0,G92/I92)</f>
        <v>0.29175</v>
      </c>
    </row>
    <row r="93" customFormat="false" ht="15" hidden="false" customHeight="false" outlineLevel="0" collapsed="false">
      <c r="A93" s="3" t="s">
        <v>316</v>
      </c>
      <c r="B93" s="4" t="n">
        <v>46065</v>
      </c>
      <c r="C93" s="3" t="s">
        <v>11</v>
      </c>
      <c r="D93" s="3" t="s">
        <v>12</v>
      </c>
      <c r="E93" s="3" t="s">
        <v>13</v>
      </c>
      <c r="F93" s="5" t="n">
        <v>850</v>
      </c>
      <c r="G93" s="5" t="n">
        <v>159.35</v>
      </c>
      <c r="H93" s="3" t="n">
        <v>1</v>
      </c>
      <c r="I93" s="5" t="n">
        <f aca="false">F93*H93</f>
        <v>850</v>
      </c>
      <c r="J93" s="6" t="n">
        <f aca="false">IF(I93=0,0,G93/I93)</f>
        <v>0.187470588235294</v>
      </c>
    </row>
    <row r="94" customFormat="false" ht="15" hidden="false" customHeight="false" outlineLevel="0" collapsed="false">
      <c r="A94" s="3" t="s">
        <v>319</v>
      </c>
      <c r="B94" s="4" t="n">
        <v>46167</v>
      </c>
      <c r="C94" s="3" t="s">
        <v>59</v>
      </c>
      <c r="D94" s="3" t="s">
        <v>150</v>
      </c>
      <c r="E94" s="3" t="s">
        <v>80</v>
      </c>
      <c r="F94" s="5" t="n">
        <v>590</v>
      </c>
      <c r="G94" s="5" t="n">
        <v>377.95</v>
      </c>
      <c r="H94" s="3" t="n">
        <v>2</v>
      </c>
      <c r="I94" s="5" t="n">
        <f aca="false">F94*H94</f>
        <v>1180</v>
      </c>
      <c r="J94" s="6" t="n">
        <f aca="false">IF(I94=0,0,G94/I94)</f>
        <v>0.320296610169492</v>
      </c>
    </row>
    <row r="95" customFormat="false" ht="15" hidden="false" customHeight="false" outlineLevel="0" collapsed="false">
      <c r="A95" s="3" t="s">
        <v>321</v>
      </c>
      <c r="B95" s="4" t="n">
        <v>46082</v>
      </c>
      <c r="C95" s="3" t="s">
        <v>19</v>
      </c>
      <c r="D95" s="3" t="s">
        <v>130</v>
      </c>
      <c r="E95" s="3" t="s">
        <v>80</v>
      </c>
      <c r="F95" s="5" t="n">
        <v>780</v>
      </c>
      <c r="G95" s="5" t="n">
        <v>764.59</v>
      </c>
      <c r="H95" s="3" t="n">
        <v>3</v>
      </c>
      <c r="I95" s="5" t="n">
        <f aca="false">F95*H95</f>
        <v>2340</v>
      </c>
      <c r="J95" s="6" t="n">
        <f aca="false">IF(I95=0,0,G95/I95)</f>
        <v>0.326747863247863</v>
      </c>
    </row>
    <row r="96" customFormat="false" ht="15" hidden="false" customHeight="false" outlineLevel="0" collapsed="false">
      <c r="A96" s="3" t="s">
        <v>323</v>
      </c>
      <c r="B96" s="4" t="n">
        <v>46041</v>
      </c>
      <c r="C96" s="3" t="s">
        <v>19</v>
      </c>
      <c r="D96" s="3" t="s">
        <v>48</v>
      </c>
      <c r="E96" s="3" t="s">
        <v>43</v>
      </c>
      <c r="F96" s="5" t="n">
        <v>65</v>
      </c>
      <c r="G96" s="5" t="n">
        <v>66.55</v>
      </c>
      <c r="H96" s="3" t="n">
        <v>3</v>
      </c>
      <c r="I96" s="5" t="n">
        <f aca="false">F96*H96</f>
        <v>195</v>
      </c>
      <c r="J96" s="6" t="n">
        <f aca="false">IF(I96=0,0,G96/I96)</f>
        <v>0.341282051282051</v>
      </c>
    </row>
    <row r="97" customFormat="false" ht="15" hidden="false" customHeight="false" outlineLevel="0" collapsed="false">
      <c r="A97" s="3" t="s">
        <v>326</v>
      </c>
      <c r="B97" s="4" t="n">
        <v>46121</v>
      </c>
      <c r="C97" s="3" t="s">
        <v>19</v>
      </c>
      <c r="D97" s="3" t="s">
        <v>110</v>
      </c>
      <c r="E97" s="3" t="s">
        <v>24</v>
      </c>
      <c r="F97" s="5" t="n">
        <v>12</v>
      </c>
      <c r="G97" s="5" t="n">
        <v>3.03</v>
      </c>
      <c r="H97" s="3" t="n">
        <v>1</v>
      </c>
      <c r="I97" s="5" t="n">
        <f aca="false">F97*H97</f>
        <v>12</v>
      </c>
      <c r="J97" s="6" t="n">
        <f aca="false">IF(I97=0,0,G97/I97)</f>
        <v>0.2525</v>
      </c>
    </row>
    <row r="98" customFormat="false" ht="15" hidden="false" customHeight="false" outlineLevel="0" collapsed="false">
      <c r="A98" s="3" t="s">
        <v>329</v>
      </c>
      <c r="B98" s="4" t="n">
        <v>46093</v>
      </c>
      <c r="C98" s="3" t="s">
        <v>59</v>
      </c>
      <c r="D98" s="3" t="s">
        <v>31</v>
      </c>
      <c r="E98" s="3" t="s">
        <v>43</v>
      </c>
      <c r="F98" s="5" t="n">
        <v>45</v>
      </c>
      <c r="G98" s="5" t="n">
        <v>78.68</v>
      </c>
      <c r="H98" s="3" t="n">
        <v>6</v>
      </c>
      <c r="I98" s="5" t="n">
        <f aca="false">F98*H98</f>
        <v>270</v>
      </c>
      <c r="J98" s="6" t="n">
        <f aca="false">IF(I98=0,0,G98/I98)</f>
        <v>0.291407407407407</v>
      </c>
    </row>
    <row r="99" customFormat="false" ht="15" hidden="false" customHeight="false" outlineLevel="0" collapsed="false">
      <c r="A99" s="3" t="s">
        <v>332</v>
      </c>
      <c r="B99" s="4" t="n">
        <v>46079</v>
      </c>
      <c r="C99" s="3" t="s">
        <v>11</v>
      </c>
      <c r="D99" s="3" t="s">
        <v>31</v>
      </c>
      <c r="E99" s="3" t="s">
        <v>43</v>
      </c>
      <c r="F99" s="5" t="n">
        <v>45</v>
      </c>
      <c r="G99" s="5" t="n">
        <v>66.72</v>
      </c>
      <c r="H99" s="3" t="n">
        <v>5</v>
      </c>
      <c r="I99" s="5" t="n">
        <f aca="false">F99*H99</f>
        <v>225</v>
      </c>
      <c r="J99" s="6" t="n">
        <f aca="false">IF(I99=0,0,G99/I99)</f>
        <v>0.296533333333333</v>
      </c>
    </row>
    <row r="100" customFormat="false" ht="15" hidden="false" customHeight="false" outlineLevel="0" collapsed="false">
      <c r="A100" s="3" t="s">
        <v>334</v>
      </c>
      <c r="B100" s="4" t="n">
        <v>46102</v>
      </c>
      <c r="C100" s="3" t="s">
        <v>30</v>
      </c>
      <c r="D100" s="3" t="s">
        <v>79</v>
      </c>
      <c r="E100" s="3" t="s">
        <v>80</v>
      </c>
      <c r="F100" s="5" t="n">
        <v>620</v>
      </c>
      <c r="G100" s="5" t="n">
        <v>87.25</v>
      </c>
      <c r="H100" s="3" t="n">
        <v>1</v>
      </c>
      <c r="I100" s="5" t="n">
        <f aca="false">F100*H100</f>
        <v>620</v>
      </c>
      <c r="J100" s="6" t="n">
        <f aca="false">IF(I100=0,0,G100/I100)</f>
        <v>0.140725806451613</v>
      </c>
    </row>
    <row r="101" customFormat="false" ht="15" hidden="false" customHeight="false" outlineLevel="0" collapsed="false">
      <c r="A101" s="3" t="s">
        <v>337</v>
      </c>
      <c r="B101" s="4" t="n">
        <v>46056</v>
      </c>
      <c r="C101" s="3" t="s">
        <v>19</v>
      </c>
      <c r="D101" s="3" t="s">
        <v>37</v>
      </c>
      <c r="E101" s="3" t="s">
        <v>24</v>
      </c>
      <c r="F101" s="5" t="n">
        <v>25</v>
      </c>
      <c r="G101" s="5" t="n">
        <v>23.33</v>
      </c>
      <c r="H101" s="3" t="n">
        <v>3</v>
      </c>
      <c r="I101" s="5" t="n">
        <f aca="false">F101*H101</f>
        <v>75</v>
      </c>
      <c r="J101" s="6" t="n">
        <f aca="false">IF(I101=0,0,G101/I101)</f>
        <v>0.311066666666667</v>
      </c>
    </row>
    <row r="102" customFormat="false" ht="15" hidden="false" customHeight="false" outlineLevel="0" collapsed="false">
      <c r="A102" s="3" t="s">
        <v>340</v>
      </c>
      <c r="B102" s="4" t="n">
        <v>46052</v>
      </c>
      <c r="C102" s="3" t="s">
        <v>11</v>
      </c>
      <c r="D102" s="3" t="s">
        <v>110</v>
      </c>
      <c r="E102" s="3" t="s">
        <v>24</v>
      </c>
      <c r="F102" s="5" t="n">
        <v>12</v>
      </c>
      <c r="G102" s="5" t="n">
        <v>3.81</v>
      </c>
      <c r="H102" s="3" t="n">
        <v>1</v>
      </c>
      <c r="I102" s="5" t="n">
        <f aca="false">F102*H102</f>
        <v>12</v>
      </c>
      <c r="J102" s="6" t="n">
        <f aca="false">IF(I102=0,0,G102/I102)</f>
        <v>0.3175</v>
      </c>
    </row>
    <row r="103" customFormat="false" ht="15" hidden="false" customHeight="false" outlineLevel="0" collapsed="false">
      <c r="A103" s="3" t="s">
        <v>342</v>
      </c>
      <c r="B103" s="4" t="n">
        <v>46046</v>
      </c>
      <c r="C103" s="3" t="s">
        <v>11</v>
      </c>
      <c r="D103" s="3" t="s">
        <v>23</v>
      </c>
      <c r="E103" s="3" t="s">
        <v>24</v>
      </c>
      <c r="F103" s="5" t="n">
        <v>20</v>
      </c>
      <c r="G103" s="5" t="n">
        <v>4.1</v>
      </c>
      <c r="H103" s="3" t="n">
        <v>1</v>
      </c>
      <c r="I103" s="5" t="n">
        <f aca="false">F103*H103</f>
        <v>20</v>
      </c>
      <c r="J103" s="6" t="n">
        <f aca="false">IF(I103=0,0,G103/I103)</f>
        <v>0.205</v>
      </c>
    </row>
    <row r="104" customFormat="false" ht="15" hidden="false" customHeight="false" outlineLevel="0" collapsed="false">
      <c r="A104" s="3" t="s">
        <v>344</v>
      </c>
      <c r="B104" s="4" t="n">
        <v>46186</v>
      </c>
      <c r="C104" s="3" t="s">
        <v>59</v>
      </c>
      <c r="D104" s="3" t="s">
        <v>48</v>
      </c>
      <c r="E104" s="3" t="s">
        <v>43</v>
      </c>
      <c r="F104" s="5" t="n">
        <v>65</v>
      </c>
      <c r="G104" s="5" t="n">
        <v>17.06</v>
      </c>
      <c r="H104" s="3" t="n">
        <v>1</v>
      </c>
      <c r="I104" s="5" t="n">
        <f aca="false">F104*H104</f>
        <v>65</v>
      </c>
      <c r="J104" s="6" t="n">
        <f aca="false">IF(I104=0,0,G104/I104)</f>
        <v>0.262461538461538</v>
      </c>
    </row>
    <row r="105" customFormat="false" ht="15" hidden="false" customHeight="false" outlineLevel="0" collapsed="false">
      <c r="A105" s="3" t="s">
        <v>346</v>
      </c>
      <c r="B105" s="4" t="n">
        <v>46188</v>
      </c>
      <c r="C105" s="3" t="s">
        <v>19</v>
      </c>
      <c r="D105" s="3" t="s">
        <v>48</v>
      </c>
      <c r="E105" s="3" t="s">
        <v>43</v>
      </c>
      <c r="F105" s="5" t="n">
        <v>65</v>
      </c>
      <c r="G105" s="5" t="n">
        <v>59.34</v>
      </c>
      <c r="H105" s="3" t="n">
        <v>6</v>
      </c>
      <c r="I105" s="5" t="n">
        <f aca="false">F105*H105</f>
        <v>390</v>
      </c>
      <c r="J105" s="6" t="n">
        <f aca="false">IF(I105=0,0,G105/I105)</f>
        <v>0.152153846153846</v>
      </c>
    </row>
    <row r="106" customFormat="false" ht="15" hidden="false" customHeight="false" outlineLevel="0" collapsed="false">
      <c r="A106" s="3" t="s">
        <v>349</v>
      </c>
      <c r="B106" s="4" t="n">
        <v>46047</v>
      </c>
      <c r="C106" s="3" t="s">
        <v>30</v>
      </c>
      <c r="D106" s="3" t="s">
        <v>103</v>
      </c>
      <c r="E106" s="3" t="s">
        <v>43</v>
      </c>
      <c r="F106" s="5" t="n">
        <v>90</v>
      </c>
      <c r="G106" s="5" t="n">
        <v>60.9</v>
      </c>
      <c r="H106" s="3" t="n">
        <v>2</v>
      </c>
      <c r="I106" s="5" t="n">
        <f aca="false">F106*H106</f>
        <v>180</v>
      </c>
      <c r="J106" s="6" t="n">
        <f aca="false">IF(I106=0,0,G106/I106)</f>
        <v>0.338333333333333</v>
      </c>
    </row>
    <row r="107" customFormat="false" ht="15" hidden="false" customHeight="false" outlineLevel="0" collapsed="false">
      <c r="A107" s="3" t="s">
        <v>352</v>
      </c>
      <c r="B107" s="4" t="n">
        <v>46129</v>
      </c>
      <c r="C107" s="3" t="s">
        <v>19</v>
      </c>
      <c r="D107" s="3" t="s">
        <v>175</v>
      </c>
      <c r="E107" s="3" t="s">
        <v>54</v>
      </c>
      <c r="F107" s="5" t="n">
        <v>130</v>
      </c>
      <c r="G107" s="5" t="n">
        <v>95.86</v>
      </c>
      <c r="H107" s="3" t="n">
        <v>4</v>
      </c>
      <c r="I107" s="5" t="n">
        <f aca="false">F107*H107</f>
        <v>520</v>
      </c>
      <c r="J107" s="6" t="n">
        <f aca="false">IF(I107=0,0,G107/I107)</f>
        <v>0.184346153846154</v>
      </c>
    </row>
    <row r="108" customFormat="false" ht="15" hidden="false" customHeight="false" outlineLevel="0" collapsed="false">
      <c r="A108" s="3" t="s">
        <v>354</v>
      </c>
      <c r="B108" s="4" t="n">
        <v>46083</v>
      </c>
      <c r="C108" s="3" t="s">
        <v>59</v>
      </c>
      <c r="D108" s="3" t="s">
        <v>130</v>
      </c>
      <c r="E108" s="3" t="s">
        <v>80</v>
      </c>
      <c r="F108" s="5" t="n">
        <v>780</v>
      </c>
      <c r="G108" s="5" t="n">
        <v>255.36</v>
      </c>
      <c r="H108" s="3" t="n">
        <v>1</v>
      </c>
      <c r="I108" s="5" t="n">
        <f aca="false">F108*H108</f>
        <v>780</v>
      </c>
      <c r="J108" s="6" t="n">
        <f aca="false">IF(I108=0,0,G108/I108)</f>
        <v>0.327384615384615</v>
      </c>
    </row>
    <row r="109" customFormat="false" ht="15" hidden="false" customHeight="false" outlineLevel="0" collapsed="false">
      <c r="A109" s="3" t="s">
        <v>356</v>
      </c>
      <c r="B109" s="4" t="n">
        <v>46071</v>
      </c>
      <c r="C109" s="3" t="s">
        <v>11</v>
      </c>
      <c r="D109" s="3" t="s">
        <v>287</v>
      </c>
      <c r="E109" s="3" t="s">
        <v>13</v>
      </c>
      <c r="F109" s="5" t="n">
        <v>980</v>
      </c>
      <c r="G109" s="5" t="n">
        <v>1046.97</v>
      </c>
      <c r="H109" s="3" t="n">
        <v>4</v>
      </c>
      <c r="I109" s="5" t="n">
        <f aca="false">F109*H109</f>
        <v>3920</v>
      </c>
      <c r="J109" s="6" t="n">
        <f aca="false">IF(I109=0,0,G109/I109)</f>
        <v>0.267084183673469</v>
      </c>
    </row>
    <row r="110" customFormat="false" ht="15" hidden="false" customHeight="false" outlineLevel="0" collapsed="false">
      <c r="A110" s="3" t="s">
        <v>359</v>
      </c>
      <c r="B110" s="4" t="n">
        <v>46055</v>
      </c>
      <c r="C110" s="3" t="s">
        <v>19</v>
      </c>
      <c r="D110" s="3" t="s">
        <v>74</v>
      </c>
      <c r="E110" s="3" t="s">
        <v>13</v>
      </c>
      <c r="F110" s="5" t="n">
        <v>1200</v>
      </c>
      <c r="G110" s="5" t="n">
        <v>402.35</v>
      </c>
      <c r="H110" s="3" t="n">
        <v>2</v>
      </c>
      <c r="I110" s="5" t="n">
        <f aca="false">F110*H110</f>
        <v>2400</v>
      </c>
      <c r="J110" s="6" t="n">
        <f aca="false">IF(I110=0,0,G110/I110)</f>
        <v>0.167645833333333</v>
      </c>
    </row>
    <row r="111" customFormat="false" ht="15" hidden="false" customHeight="false" outlineLevel="0" collapsed="false">
      <c r="A111" s="3" t="s">
        <v>361</v>
      </c>
      <c r="B111" s="4" t="n">
        <v>46175</v>
      </c>
      <c r="C111" s="3" t="s">
        <v>19</v>
      </c>
      <c r="D111" s="3" t="s">
        <v>138</v>
      </c>
      <c r="E111" s="3" t="s">
        <v>80</v>
      </c>
      <c r="F111" s="5" t="n">
        <v>310</v>
      </c>
      <c r="G111" s="5" t="n">
        <v>90.08</v>
      </c>
      <c r="H111" s="3" t="n">
        <v>2</v>
      </c>
      <c r="I111" s="5" t="n">
        <f aca="false">F111*H111</f>
        <v>620</v>
      </c>
      <c r="J111" s="6" t="n">
        <f aca="false">IF(I111=0,0,G111/I111)</f>
        <v>0.145290322580645</v>
      </c>
    </row>
    <row r="112" customFormat="false" ht="15" hidden="false" customHeight="false" outlineLevel="0" collapsed="false">
      <c r="A112" s="3" t="s">
        <v>364</v>
      </c>
      <c r="B112" s="4" t="n">
        <v>46083</v>
      </c>
      <c r="C112" s="3" t="s">
        <v>11</v>
      </c>
      <c r="D112" s="3" t="s">
        <v>79</v>
      </c>
      <c r="E112" s="3" t="s">
        <v>80</v>
      </c>
      <c r="F112" s="5" t="n">
        <v>620</v>
      </c>
      <c r="G112" s="5" t="n">
        <v>180.17</v>
      </c>
      <c r="H112" s="3" t="n">
        <v>1</v>
      </c>
      <c r="I112" s="5" t="n">
        <f aca="false">F112*H112</f>
        <v>620</v>
      </c>
      <c r="J112" s="6" t="n">
        <f aca="false">IF(I112=0,0,G112/I112)</f>
        <v>0.290596774193548</v>
      </c>
    </row>
    <row r="113" customFormat="false" ht="15" hidden="false" customHeight="false" outlineLevel="0" collapsed="false">
      <c r="A113" s="3" t="s">
        <v>366</v>
      </c>
      <c r="B113" s="4" t="n">
        <v>46115</v>
      </c>
      <c r="C113" s="3" t="s">
        <v>59</v>
      </c>
      <c r="D113" s="3" t="s">
        <v>287</v>
      </c>
      <c r="E113" s="3" t="s">
        <v>13</v>
      </c>
      <c r="F113" s="5" t="n">
        <v>980</v>
      </c>
      <c r="G113" s="5" t="n">
        <v>256.25</v>
      </c>
      <c r="H113" s="3" t="n">
        <v>1</v>
      </c>
      <c r="I113" s="5" t="n">
        <f aca="false">F113*H113</f>
        <v>980</v>
      </c>
      <c r="J113" s="6" t="n">
        <f aca="false">IF(I113=0,0,G113/I113)</f>
        <v>0.261479591836735</v>
      </c>
    </row>
    <row r="114" customFormat="false" ht="15" hidden="false" customHeight="false" outlineLevel="0" collapsed="false">
      <c r="A114" s="3" t="s">
        <v>369</v>
      </c>
      <c r="B114" s="4" t="n">
        <v>46187</v>
      </c>
      <c r="C114" s="3" t="s">
        <v>59</v>
      </c>
      <c r="D114" s="3" t="s">
        <v>175</v>
      </c>
      <c r="E114" s="3" t="s">
        <v>54</v>
      </c>
      <c r="F114" s="5" t="n">
        <v>130</v>
      </c>
      <c r="G114" s="5" t="n">
        <v>28.35</v>
      </c>
      <c r="H114" s="3" t="n">
        <v>1</v>
      </c>
      <c r="I114" s="5" t="n">
        <f aca="false">F114*H114</f>
        <v>130</v>
      </c>
      <c r="J114" s="6" t="n">
        <f aca="false">IF(I114=0,0,G114/I114)</f>
        <v>0.218076923076923</v>
      </c>
    </row>
    <row r="115" customFormat="false" ht="15" hidden="false" customHeight="false" outlineLevel="0" collapsed="false">
      <c r="A115" s="3" t="s">
        <v>372</v>
      </c>
      <c r="B115" s="4" t="n">
        <v>46105</v>
      </c>
      <c r="C115" s="3" t="s">
        <v>30</v>
      </c>
      <c r="D115" s="3" t="s">
        <v>37</v>
      </c>
      <c r="E115" s="3" t="s">
        <v>24</v>
      </c>
      <c r="F115" s="5" t="n">
        <v>25</v>
      </c>
      <c r="G115" s="5" t="n">
        <v>6.37</v>
      </c>
      <c r="H115" s="3" t="n">
        <v>1</v>
      </c>
      <c r="I115" s="5" t="n">
        <f aca="false">F115*H115</f>
        <v>25</v>
      </c>
      <c r="J115" s="6" t="n">
        <f aca="false">IF(I115=0,0,G115/I115)</f>
        <v>0.2548</v>
      </c>
    </row>
    <row r="116" customFormat="false" ht="15" hidden="false" customHeight="false" outlineLevel="0" collapsed="false">
      <c r="A116" s="3" t="s">
        <v>374</v>
      </c>
      <c r="B116" s="4" t="n">
        <v>46139</v>
      </c>
      <c r="C116" s="3" t="s">
        <v>11</v>
      </c>
      <c r="D116" s="3" t="s">
        <v>23</v>
      </c>
      <c r="E116" s="3" t="s">
        <v>24</v>
      </c>
      <c r="F116" s="5" t="n">
        <v>20</v>
      </c>
      <c r="G116" s="5" t="n">
        <v>25.29</v>
      </c>
      <c r="H116" s="3" t="n">
        <v>4</v>
      </c>
      <c r="I116" s="5" t="n">
        <f aca="false">F116*H116</f>
        <v>80</v>
      </c>
      <c r="J116" s="6" t="n">
        <f aca="false">IF(I116=0,0,G116/I116)</f>
        <v>0.316125</v>
      </c>
    </row>
    <row r="117" customFormat="false" ht="15" hidden="false" customHeight="false" outlineLevel="0" collapsed="false">
      <c r="A117" s="3" t="s">
        <v>376</v>
      </c>
      <c r="B117" s="4" t="n">
        <v>46138</v>
      </c>
      <c r="C117" s="3" t="s">
        <v>59</v>
      </c>
      <c r="D117" s="3" t="s">
        <v>53</v>
      </c>
      <c r="E117" s="3" t="s">
        <v>54</v>
      </c>
      <c r="F117" s="5" t="n">
        <v>55</v>
      </c>
      <c r="G117" s="5" t="n">
        <v>47.45</v>
      </c>
      <c r="H117" s="3" t="n">
        <v>4</v>
      </c>
      <c r="I117" s="5" t="n">
        <f aca="false">F117*H117</f>
        <v>220</v>
      </c>
      <c r="J117" s="6" t="n">
        <f aca="false">IF(I117=0,0,G117/I117)</f>
        <v>0.215681818181818</v>
      </c>
    </row>
    <row r="118" customFormat="false" ht="15" hidden="false" customHeight="false" outlineLevel="0" collapsed="false">
      <c r="A118" s="3" t="s">
        <v>378</v>
      </c>
      <c r="B118" s="4" t="n">
        <v>46118</v>
      </c>
      <c r="C118" s="3" t="s">
        <v>11</v>
      </c>
      <c r="D118" s="3" t="s">
        <v>110</v>
      </c>
      <c r="E118" s="3" t="s">
        <v>24</v>
      </c>
      <c r="F118" s="5" t="n">
        <v>12</v>
      </c>
      <c r="G118" s="5" t="n">
        <v>22.41</v>
      </c>
      <c r="H118" s="3" t="n">
        <v>6</v>
      </c>
      <c r="I118" s="5" t="n">
        <f aca="false">F118*H118</f>
        <v>72</v>
      </c>
      <c r="J118" s="6" t="n">
        <f aca="false">IF(I118=0,0,G118/I118)</f>
        <v>0.31125</v>
      </c>
    </row>
    <row r="119" customFormat="false" ht="15" hidden="false" customHeight="false" outlineLevel="0" collapsed="false">
      <c r="A119" s="3" t="s">
        <v>381</v>
      </c>
      <c r="B119" s="4" t="n">
        <v>46165</v>
      </c>
      <c r="C119" s="3" t="s">
        <v>19</v>
      </c>
      <c r="D119" s="3" t="s">
        <v>74</v>
      </c>
      <c r="E119" s="3" t="s">
        <v>13</v>
      </c>
      <c r="F119" s="5" t="n">
        <v>1200</v>
      </c>
      <c r="G119" s="5" t="n">
        <v>1207.97</v>
      </c>
      <c r="H119" s="3" t="n">
        <v>5</v>
      </c>
      <c r="I119" s="5" t="n">
        <f aca="false">F119*H119</f>
        <v>6000</v>
      </c>
      <c r="J119" s="6" t="n">
        <f aca="false">IF(I119=0,0,G119/I119)</f>
        <v>0.201328333333333</v>
      </c>
    </row>
    <row r="120" customFormat="false" ht="15" hidden="false" customHeight="false" outlineLevel="0" collapsed="false">
      <c r="A120" s="3" t="s">
        <v>384</v>
      </c>
      <c r="B120" s="4" t="n">
        <v>46096</v>
      </c>
      <c r="C120" s="3" t="s">
        <v>30</v>
      </c>
      <c r="D120" s="3" t="s">
        <v>23</v>
      </c>
      <c r="E120" s="3" t="s">
        <v>24</v>
      </c>
      <c r="F120" s="5" t="n">
        <v>20</v>
      </c>
      <c r="G120" s="5" t="n">
        <v>9.34</v>
      </c>
      <c r="H120" s="3" t="n">
        <v>3</v>
      </c>
      <c r="I120" s="5" t="n">
        <f aca="false">F120*H120</f>
        <v>60</v>
      </c>
      <c r="J120" s="6" t="n">
        <f aca="false">IF(I120=0,0,G120/I120)</f>
        <v>0.155666666666667</v>
      </c>
    </row>
    <row r="121" customFormat="false" ht="15" hidden="false" customHeight="false" outlineLevel="0" collapsed="false">
      <c r="A121" s="3" t="s">
        <v>386</v>
      </c>
      <c r="B121" s="4" t="n">
        <v>46052</v>
      </c>
      <c r="C121" s="3" t="s">
        <v>11</v>
      </c>
      <c r="D121" s="3" t="s">
        <v>74</v>
      </c>
      <c r="E121" s="3" t="s">
        <v>13</v>
      </c>
      <c r="F121" s="5" t="n">
        <v>1200</v>
      </c>
      <c r="G121" s="5" t="n">
        <v>1494.13</v>
      </c>
      <c r="H121" s="3" t="n">
        <v>5</v>
      </c>
      <c r="I121" s="5" t="n">
        <f aca="false">F121*H121</f>
        <v>6000</v>
      </c>
      <c r="J121" s="6" t="n">
        <f aca="false">IF(I121=0,0,G121/I121)</f>
        <v>0.249021666666667</v>
      </c>
    </row>
    <row r="122" customFormat="false" ht="15" hidden="false" customHeight="false" outlineLevel="0" collapsed="false">
      <c r="A122" s="3" t="s">
        <v>388</v>
      </c>
      <c r="B122" s="4" t="n">
        <v>46030</v>
      </c>
      <c r="C122" s="3" t="s">
        <v>11</v>
      </c>
      <c r="D122" s="3" t="s">
        <v>53</v>
      </c>
      <c r="E122" s="3" t="s">
        <v>54</v>
      </c>
      <c r="F122" s="5" t="n">
        <v>55</v>
      </c>
      <c r="G122" s="5" t="n">
        <v>26.68</v>
      </c>
      <c r="H122" s="3" t="n">
        <v>3</v>
      </c>
      <c r="I122" s="5" t="n">
        <f aca="false">F122*H122</f>
        <v>165</v>
      </c>
      <c r="J122" s="6" t="n">
        <f aca="false">IF(I122=0,0,G122/I122)</f>
        <v>0.16169696969697</v>
      </c>
    </row>
    <row r="123" customFormat="false" ht="15" hidden="false" customHeight="false" outlineLevel="0" collapsed="false">
      <c r="A123" s="3" t="s">
        <v>391</v>
      </c>
      <c r="B123" s="4" t="n">
        <v>46185</v>
      </c>
      <c r="C123" s="3" t="s">
        <v>19</v>
      </c>
      <c r="D123" s="3" t="s">
        <v>37</v>
      </c>
      <c r="E123" s="3" t="s">
        <v>24</v>
      </c>
      <c r="F123" s="5" t="n">
        <v>25</v>
      </c>
      <c r="G123" s="5" t="n">
        <v>5.41</v>
      </c>
      <c r="H123" s="3" t="n">
        <v>1</v>
      </c>
      <c r="I123" s="5" t="n">
        <f aca="false">F123*H123</f>
        <v>25</v>
      </c>
      <c r="J123" s="6" t="n">
        <f aca="false">IF(I123=0,0,G123/I123)</f>
        <v>0.2164</v>
      </c>
    </row>
    <row r="124" customFormat="false" ht="15" hidden="false" customHeight="false" outlineLevel="0" collapsed="false">
      <c r="A124" s="3" t="s">
        <v>394</v>
      </c>
      <c r="B124" s="4" t="n">
        <v>46168</v>
      </c>
      <c r="C124" s="3" t="s">
        <v>11</v>
      </c>
      <c r="D124" s="3" t="s">
        <v>103</v>
      </c>
      <c r="E124" s="3" t="s">
        <v>43</v>
      </c>
      <c r="F124" s="5" t="n">
        <v>90</v>
      </c>
      <c r="G124" s="5" t="n">
        <v>11.83</v>
      </c>
      <c r="H124" s="3" t="n">
        <v>1</v>
      </c>
      <c r="I124" s="5" t="n">
        <f aca="false">F124*H124</f>
        <v>90</v>
      </c>
      <c r="J124" s="6" t="n">
        <f aca="false">IF(I124=0,0,G124/I124)</f>
        <v>0.131444444444444</v>
      </c>
    </row>
    <row r="125" customFormat="false" ht="15" hidden="false" customHeight="false" outlineLevel="0" collapsed="false">
      <c r="A125" s="3" t="s">
        <v>397</v>
      </c>
      <c r="B125" s="4" t="n">
        <v>46147</v>
      </c>
      <c r="C125" s="3" t="s">
        <v>59</v>
      </c>
      <c r="D125" s="3" t="s">
        <v>23</v>
      </c>
      <c r="E125" s="3" t="s">
        <v>24</v>
      </c>
      <c r="F125" s="5" t="n">
        <v>20</v>
      </c>
      <c r="G125" s="5" t="n">
        <v>11.69</v>
      </c>
      <c r="H125" s="3" t="n">
        <v>4</v>
      </c>
      <c r="I125" s="5" t="n">
        <f aca="false">F125*H125</f>
        <v>80</v>
      </c>
      <c r="J125" s="6" t="n">
        <f aca="false">IF(I125=0,0,G125/I125)</f>
        <v>0.146125</v>
      </c>
    </row>
    <row r="126" customFormat="false" ht="15" hidden="false" customHeight="false" outlineLevel="0" collapsed="false">
      <c r="A126" s="3" t="s">
        <v>400</v>
      </c>
      <c r="B126" s="4" t="n">
        <v>46157</v>
      </c>
      <c r="C126" s="3" t="s">
        <v>59</v>
      </c>
      <c r="D126" s="3" t="s">
        <v>48</v>
      </c>
      <c r="E126" s="3" t="s">
        <v>43</v>
      </c>
      <c r="F126" s="5" t="n">
        <v>65</v>
      </c>
      <c r="G126" s="5" t="n">
        <v>8.62</v>
      </c>
      <c r="H126" s="3" t="n">
        <v>1</v>
      </c>
      <c r="I126" s="5" t="n">
        <f aca="false">F126*H126</f>
        <v>65</v>
      </c>
      <c r="J126" s="6" t="n">
        <f aca="false">IF(I126=0,0,G126/I126)</f>
        <v>0.132615384615385</v>
      </c>
    </row>
    <row r="127" customFormat="false" ht="15" hidden="false" customHeight="false" outlineLevel="0" collapsed="false">
      <c r="A127" s="3" t="s">
        <v>403</v>
      </c>
      <c r="B127" s="4" t="n">
        <v>46097</v>
      </c>
      <c r="C127" s="3" t="s">
        <v>11</v>
      </c>
      <c r="D127" s="3" t="s">
        <v>150</v>
      </c>
      <c r="E127" s="3" t="s">
        <v>80</v>
      </c>
      <c r="F127" s="5" t="n">
        <v>590</v>
      </c>
      <c r="G127" s="5" t="n">
        <v>88.33</v>
      </c>
      <c r="H127" s="3" t="n">
        <v>1</v>
      </c>
      <c r="I127" s="5" t="n">
        <f aca="false">F127*H127</f>
        <v>590</v>
      </c>
      <c r="J127" s="6" t="n">
        <f aca="false">IF(I127=0,0,G127/I127)</f>
        <v>0.14971186440678</v>
      </c>
    </row>
    <row r="128" customFormat="false" ht="15" hidden="false" customHeight="false" outlineLevel="0" collapsed="false">
      <c r="A128" s="3" t="s">
        <v>406</v>
      </c>
      <c r="B128" s="4" t="n">
        <v>46124</v>
      </c>
      <c r="C128" s="3" t="s">
        <v>30</v>
      </c>
      <c r="D128" s="3" t="s">
        <v>138</v>
      </c>
      <c r="E128" s="3" t="s">
        <v>80</v>
      </c>
      <c r="F128" s="5" t="n">
        <v>310</v>
      </c>
      <c r="G128" s="5" t="n">
        <v>42.75</v>
      </c>
      <c r="H128" s="3" t="n">
        <v>1</v>
      </c>
      <c r="I128" s="5" t="n">
        <f aca="false">F128*H128</f>
        <v>310</v>
      </c>
      <c r="J128" s="6" t="n">
        <f aca="false">IF(I128=0,0,G128/I128)</f>
        <v>0.137903225806452</v>
      </c>
    </row>
    <row r="129" customFormat="false" ht="15" hidden="false" customHeight="false" outlineLevel="0" collapsed="false">
      <c r="A129" s="3" t="s">
        <v>408</v>
      </c>
      <c r="B129" s="4" t="n">
        <v>46186</v>
      </c>
      <c r="C129" s="3" t="s">
        <v>59</v>
      </c>
      <c r="D129" s="3" t="s">
        <v>23</v>
      </c>
      <c r="E129" s="3" t="s">
        <v>24</v>
      </c>
      <c r="F129" s="5" t="n">
        <v>20</v>
      </c>
      <c r="G129" s="5" t="n">
        <v>3.19</v>
      </c>
      <c r="H129" s="3" t="n">
        <v>1</v>
      </c>
      <c r="I129" s="5" t="n">
        <f aca="false">F129*H129</f>
        <v>20</v>
      </c>
      <c r="J129" s="6" t="n">
        <f aca="false">IF(I129=0,0,G129/I129)</f>
        <v>0.1595</v>
      </c>
    </row>
    <row r="130" customFormat="false" ht="15" hidden="false" customHeight="false" outlineLevel="0" collapsed="false">
      <c r="A130" s="3" t="s">
        <v>410</v>
      </c>
      <c r="B130" s="4" t="n">
        <v>46045</v>
      </c>
      <c r="C130" s="3" t="s">
        <v>11</v>
      </c>
      <c r="D130" s="3" t="s">
        <v>23</v>
      </c>
      <c r="E130" s="3" t="s">
        <v>24</v>
      </c>
      <c r="F130" s="5" t="n">
        <v>20</v>
      </c>
      <c r="G130" s="5" t="n">
        <v>4.81</v>
      </c>
      <c r="H130" s="3" t="n">
        <v>1</v>
      </c>
      <c r="I130" s="5" t="n">
        <f aca="false">F130*H130</f>
        <v>20</v>
      </c>
      <c r="J130" s="6" t="n">
        <f aca="false">IF(I130=0,0,G130/I130)</f>
        <v>0.2405</v>
      </c>
    </row>
    <row r="131" customFormat="false" ht="15" hidden="false" customHeight="false" outlineLevel="0" collapsed="false">
      <c r="A131" s="3" t="s">
        <v>413</v>
      </c>
      <c r="B131" s="4" t="n">
        <v>46079</v>
      </c>
      <c r="C131" s="3" t="s">
        <v>11</v>
      </c>
      <c r="D131" s="3" t="s">
        <v>48</v>
      </c>
      <c r="E131" s="3" t="s">
        <v>43</v>
      </c>
      <c r="F131" s="5" t="n">
        <v>65</v>
      </c>
      <c r="G131" s="5" t="n">
        <v>31.47</v>
      </c>
      <c r="H131" s="3" t="n">
        <v>2</v>
      </c>
      <c r="I131" s="5" t="n">
        <f aca="false">F131*H131</f>
        <v>130</v>
      </c>
      <c r="J131" s="6" t="n">
        <f aca="false">IF(I131=0,0,G131/I131)</f>
        <v>0.242076923076923</v>
      </c>
    </row>
    <row r="132" customFormat="false" ht="15" hidden="false" customHeight="false" outlineLevel="0" collapsed="false">
      <c r="A132" s="3" t="s">
        <v>415</v>
      </c>
      <c r="B132" s="4" t="n">
        <v>46083</v>
      </c>
      <c r="C132" s="3" t="s">
        <v>19</v>
      </c>
      <c r="D132" s="3" t="s">
        <v>103</v>
      </c>
      <c r="E132" s="3" t="s">
        <v>43</v>
      </c>
      <c r="F132" s="5" t="n">
        <v>90</v>
      </c>
      <c r="G132" s="5" t="n">
        <v>53.03</v>
      </c>
      <c r="H132" s="3" t="n">
        <v>2</v>
      </c>
      <c r="I132" s="5" t="n">
        <f aca="false">F132*H132</f>
        <v>180</v>
      </c>
      <c r="J132" s="6" t="n">
        <f aca="false">IF(I132=0,0,G132/I132)</f>
        <v>0.294611111111111</v>
      </c>
    </row>
    <row r="133" customFormat="false" ht="15" hidden="false" customHeight="false" outlineLevel="0" collapsed="false">
      <c r="A133" s="3" t="s">
        <v>418</v>
      </c>
      <c r="B133" s="4" t="n">
        <v>46197</v>
      </c>
      <c r="C133" s="3" t="s">
        <v>59</v>
      </c>
      <c r="D133" s="3" t="s">
        <v>110</v>
      </c>
      <c r="E133" s="3" t="s">
        <v>24</v>
      </c>
      <c r="F133" s="5" t="n">
        <v>12</v>
      </c>
      <c r="G133" s="5" t="n">
        <v>11.66</v>
      </c>
      <c r="H133" s="3" t="n">
        <v>5</v>
      </c>
      <c r="I133" s="5" t="n">
        <f aca="false">F133*H133</f>
        <v>60</v>
      </c>
      <c r="J133" s="6" t="n">
        <f aca="false">IF(I133=0,0,G133/I133)</f>
        <v>0.194333333333333</v>
      </c>
    </row>
    <row r="134" customFormat="false" ht="15" hidden="false" customHeight="false" outlineLevel="0" collapsed="false">
      <c r="A134" s="3" t="s">
        <v>420</v>
      </c>
      <c r="B134" s="4" t="n">
        <v>46040</v>
      </c>
      <c r="C134" s="3" t="s">
        <v>59</v>
      </c>
      <c r="D134" s="3" t="s">
        <v>31</v>
      </c>
      <c r="E134" s="3" t="s">
        <v>43</v>
      </c>
      <c r="F134" s="5" t="n">
        <v>45</v>
      </c>
      <c r="G134" s="5" t="n">
        <v>35.89</v>
      </c>
      <c r="H134" s="3" t="n">
        <v>6</v>
      </c>
      <c r="I134" s="5" t="n">
        <f aca="false">F134*H134</f>
        <v>270</v>
      </c>
      <c r="J134" s="6" t="n">
        <f aca="false">IF(I134=0,0,G134/I134)</f>
        <v>0.132925925925926</v>
      </c>
    </row>
    <row r="135" customFormat="false" ht="15" hidden="false" customHeight="false" outlineLevel="0" collapsed="false">
      <c r="A135" s="3" t="s">
        <v>422</v>
      </c>
      <c r="B135" s="4" t="n">
        <v>46032</v>
      </c>
      <c r="C135" s="3" t="s">
        <v>59</v>
      </c>
      <c r="D135" s="3" t="s">
        <v>103</v>
      </c>
      <c r="E135" s="3" t="s">
        <v>43</v>
      </c>
      <c r="F135" s="5" t="n">
        <v>90</v>
      </c>
      <c r="G135" s="5" t="n">
        <v>12.67</v>
      </c>
      <c r="H135" s="3" t="n">
        <v>1</v>
      </c>
      <c r="I135" s="5" t="n">
        <f aca="false">F135*H135</f>
        <v>90</v>
      </c>
      <c r="J135" s="6" t="n">
        <f aca="false">IF(I135=0,0,G135/I135)</f>
        <v>0.140777777777778</v>
      </c>
    </row>
    <row r="136" customFormat="false" ht="15" hidden="false" customHeight="false" outlineLevel="0" collapsed="false">
      <c r="A136" s="3" t="s">
        <v>425</v>
      </c>
      <c r="B136" s="4" t="n">
        <v>46138</v>
      </c>
      <c r="C136" s="3" t="s">
        <v>30</v>
      </c>
      <c r="D136" s="3" t="s">
        <v>110</v>
      </c>
      <c r="E136" s="3" t="s">
        <v>24</v>
      </c>
      <c r="F136" s="5" t="n">
        <v>12</v>
      </c>
      <c r="G136" s="5" t="n">
        <v>13.76</v>
      </c>
      <c r="H136" s="3" t="n">
        <v>5</v>
      </c>
      <c r="I136" s="5" t="n">
        <f aca="false">F136*H136</f>
        <v>60</v>
      </c>
      <c r="J136" s="6" t="n">
        <f aca="false">IF(I136=0,0,G136/I136)</f>
        <v>0.229333333333333</v>
      </c>
    </row>
    <row r="137" customFormat="false" ht="15" hidden="false" customHeight="false" outlineLevel="0" collapsed="false">
      <c r="A137" s="3" t="s">
        <v>427</v>
      </c>
      <c r="B137" s="4" t="n">
        <v>46110</v>
      </c>
      <c r="C137" s="3" t="s">
        <v>30</v>
      </c>
      <c r="D137" s="3" t="s">
        <v>287</v>
      </c>
      <c r="E137" s="3" t="s">
        <v>13</v>
      </c>
      <c r="F137" s="5" t="n">
        <v>980</v>
      </c>
      <c r="G137" s="5" t="n">
        <v>173.44</v>
      </c>
      <c r="H137" s="3" t="n">
        <v>1</v>
      </c>
      <c r="I137" s="5" t="n">
        <f aca="false">F137*H137</f>
        <v>980</v>
      </c>
      <c r="J137" s="6" t="n">
        <f aca="false">IF(I137=0,0,G137/I137)</f>
        <v>0.176979591836735</v>
      </c>
    </row>
    <row r="138" customFormat="false" ht="15" hidden="false" customHeight="false" outlineLevel="0" collapsed="false">
      <c r="A138" s="3" t="s">
        <v>430</v>
      </c>
      <c r="B138" s="4" t="n">
        <v>46116</v>
      </c>
      <c r="C138" s="3" t="s">
        <v>19</v>
      </c>
      <c r="D138" s="3" t="s">
        <v>23</v>
      </c>
      <c r="E138" s="3" t="s">
        <v>24</v>
      </c>
      <c r="F138" s="5" t="n">
        <v>20</v>
      </c>
      <c r="G138" s="5" t="n">
        <v>16.57</v>
      </c>
      <c r="H138" s="3" t="n">
        <v>3</v>
      </c>
      <c r="I138" s="5" t="n">
        <f aca="false">F138*H138</f>
        <v>60</v>
      </c>
      <c r="J138" s="6" t="n">
        <f aca="false">IF(I138=0,0,G138/I138)</f>
        <v>0.276166666666667</v>
      </c>
    </row>
    <row r="139" customFormat="false" ht="15" hidden="false" customHeight="false" outlineLevel="0" collapsed="false">
      <c r="A139" s="3" t="s">
        <v>432</v>
      </c>
      <c r="B139" s="4" t="n">
        <v>46047</v>
      </c>
      <c r="C139" s="3" t="s">
        <v>11</v>
      </c>
      <c r="D139" s="3" t="s">
        <v>31</v>
      </c>
      <c r="E139" s="3" t="s">
        <v>43</v>
      </c>
      <c r="F139" s="5" t="n">
        <v>45</v>
      </c>
      <c r="G139" s="5" t="n">
        <v>48.78</v>
      </c>
      <c r="H139" s="3" t="n">
        <v>4</v>
      </c>
      <c r="I139" s="5" t="n">
        <f aca="false">F139*H139</f>
        <v>180</v>
      </c>
      <c r="J139" s="6" t="n">
        <f aca="false">IF(I139=0,0,G139/I139)</f>
        <v>0.271</v>
      </c>
    </row>
    <row r="140" customFormat="false" ht="15" hidden="false" customHeight="false" outlineLevel="0" collapsed="false">
      <c r="A140" s="3" t="s">
        <v>435</v>
      </c>
      <c r="B140" s="4" t="n">
        <v>46172</v>
      </c>
      <c r="C140" s="3" t="s">
        <v>30</v>
      </c>
      <c r="D140" s="3" t="s">
        <v>138</v>
      </c>
      <c r="E140" s="3" t="s">
        <v>80</v>
      </c>
      <c r="F140" s="5" t="n">
        <v>310</v>
      </c>
      <c r="G140" s="5" t="n">
        <v>253.23</v>
      </c>
      <c r="H140" s="3" t="n">
        <v>3</v>
      </c>
      <c r="I140" s="5" t="n">
        <f aca="false">F140*H140</f>
        <v>930</v>
      </c>
      <c r="J140" s="6" t="n">
        <f aca="false">IF(I140=0,0,G140/I140)</f>
        <v>0.272290322580645</v>
      </c>
    </row>
    <row r="141" customFormat="false" ht="15" hidden="false" customHeight="false" outlineLevel="0" collapsed="false">
      <c r="A141" s="3" t="s">
        <v>437</v>
      </c>
      <c r="B141" s="4" t="n">
        <v>46187</v>
      </c>
      <c r="C141" s="3" t="s">
        <v>59</v>
      </c>
      <c r="D141" s="3" t="s">
        <v>74</v>
      </c>
      <c r="E141" s="3" t="s">
        <v>13</v>
      </c>
      <c r="F141" s="5" t="n">
        <v>1200</v>
      </c>
      <c r="G141" s="5" t="n">
        <v>695.8</v>
      </c>
      <c r="H141" s="3" t="n">
        <v>2</v>
      </c>
      <c r="I141" s="5" t="n">
        <f aca="false">F141*H141</f>
        <v>2400</v>
      </c>
      <c r="J141" s="6" t="n">
        <f aca="false">IF(I141=0,0,G141/I141)</f>
        <v>0.289916666666667</v>
      </c>
    </row>
    <row r="142" customFormat="false" ht="15" hidden="false" customHeight="false" outlineLevel="0" collapsed="false">
      <c r="A142" s="3" t="s">
        <v>439</v>
      </c>
      <c r="B142" s="4" t="n">
        <v>46153</v>
      </c>
      <c r="C142" s="3" t="s">
        <v>59</v>
      </c>
      <c r="D142" s="3" t="s">
        <v>53</v>
      </c>
      <c r="E142" s="3" t="s">
        <v>54</v>
      </c>
      <c r="F142" s="5" t="n">
        <v>55</v>
      </c>
      <c r="G142" s="5" t="n">
        <v>32.77</v>
      </c>
      <c r="H142" s="3" t="n">
        <v>3</v>
      </c>
      <c r="I142" s="5" t="n">
        <f aca="false">F142*H142</f>
        <v>165</v>
      </c>
      <c r="J142" s="6" t="n">
        <f aca="false">IF(I142=0,0,G142/I142)</f>
        <v>0.198606060606061</v>
      </c>
    </row>
    <row r="143" customFormat="false" ht="15" hidden="false" customHeight="false" outlineLevel="0" collapsed="false">
      <c r="A143" s="3" t="s">
        <v>441</v>
      </c>
      <c r="B143" s="4" t="n">
        <v>46062</v>
      </c>
      <c r="C143" s="3" t="s">
        <v>19</v>
      </c>
      <c r="D143" s="3" t="s">
        <v>150</v>
      </c>
      <c r="E143" s="3" t="s">
        <v>80</v>
      </c>
      <c r="F143" s="5" t="n">
        <v>590</v>
      </c>
      <c r="G143" s="5" t="n">
        <v>953.58</v>
      </c>
      <c r="H143" s="3" t="n">
        <v>5</v>
      </c>
      <c r="I143" s="5" t="n">
        <f aca="false">F143*H143</f>
        <v>2950</v>
      </c>
      <c r="J143" s="6" t="n">
        <f aca="false">IF(I143=0,0,G143/I143)</f>
        <v>0.323247457627119</v>
      </c>
    </row>
    <row r="144" customFormat="false" ht="15" hidden="false" customHeight="false" outlineLevel="0" collapsed="false">
      <c r="A144" s="3" t="s">
        <v>444</v>
      </c>
      <c r="B144" s="4" t="n">
        <v>46175</v>
      </c>
      <c r="C144" s="3" t="s">
        <v>19</v>
      </c>
      <c r="D144" s="3" t="s">
        <v>48</v>
      </c>
      <c r="E144" s="3" t="s">
        <v>43</v>
      </c>
      <c r="F144" s="5" t="n">
        <v>65</v>
      </c>
      <c r="G144" s="5" t="n">
        <v>34.28</v>
      </c>
      <c r="H144" s="3" t="n">
        <v>2</v>
      </c>
      <c r="I144" s="5" t="n">
        <f aca="false">F144*H144</f>
        <v>130</v>
      </c>
      <c r="J144" s="6" t="n">
        <f aca="false">IF(I144=0,0,G144/I144)</f>
        <v>0.263692307692308</v>
      </c>
    </row>
    <row r="145" customFormat="false" ht="15" hidden="false" customHeight="false" outlineLevel="0" collapsed="false">
      <c r="A145" s="3" t="s">
        <v>446</v>
      </c>
      <c r="B145" s="4" t="n">
        <v>46116</v>
      </c>
      <c r="C145" s="3" t="s">
        <v>59</v>
      </c>
      <c r="D145" s="3" t="s">
        <v>37</v>
      </c>
      <c r="E145" s="3" t="s">
        <v>24</v>
      </c>
      <c r="F145" s="5" t="n">
        <v>25</v>
      </c>
      <c r="G145" s="5" t="n">
        <v>14.65</v>
      </c>
      <c r="H145" s="3" t="n">
        <v>2</v>
      </c>
      <c r="I145" s="5" t="n">
        <f aca="false">F145*H145</f>
        <v>50</v>
      </c>
      <c r="J145" s="6" t="n">
        <f aca="false">IF(I145=0,0,G145/I145)</f>
        <v>0.293</v>
      </c>
    </row>
    <row r="146" customFormat="false" ht="15" hidden="false" customHeight="false" outlineLevel="0" collapsed="false">
      <c r="A146" s="3" t="s">
        <v>448</v>
      </c>
      <c r="B146" s="4" t="n">
        <v>46143</v>
      </c>
      <c r="C146" s="3" t="s">
        <v>11</v>
      </c>
      <c r="D146" s="3" t="s">
        <v>150</v>
      </c>
      <c r="E146" s="3" t="s">
        <v>80</v>
      </c>
      <c r="F146" s="5" t="n">
        <v>590</v>
      </c>
      <c r="G146" s="5" t="n">
        <v>408.78</v>
      </c>
      <c r="H146" s="3" t="n">
        <v>2</v>
      </c>
      <c r="I146" s="5" t="n">
        <f aca="false">F146*H146</f>
        <v>1180</v>
      </c>
      <c r="J146" s="6" t="n">
        <f aca="false">IF(I146=0,0,G146/I146)</f>
        <v>0.346423728813559</v>
      </c>
    </row>
    <row r="147" customFormat="false" ht="15" hidden="false" customHeight="false" outlineLevel="0" collapsed="false">
      <c r="A147" s="3" t="s">
        <v>451</v>
      </c>
      <c r="B147" s="4" t="n">
        <v>46064</v>
      </c>
      <c r="C147" s="3" t="s">
        <v>59</v>
      </c>
      <c r="D147" s="3" t="s">
        <v>103</v>
      </c>
      <c r="E147" s="3" t="s">
        <v>43</v>
      </c>
      <c r="F147" s="5" t="n">
        <v>90</v>
      </c>
      <c r="G147" s="5" t="n">
        <v>120.36</v>
      </c>
      <c r="H147" s="3" t="n">
        <v>5</v>
      </c>
      <c r="I147" s="5" t="n">
        <f aca="false">F147*H147</f>
        <v>450</v>
      </c>
      <c r="J147" s="6" t="n">
        <f aca="false">IF(I147=0,0,G147/I147)</f>
        <v>0.267466666666667</v>
      </c>
    </row>
    <row r="148" customFormat="false" ht="15" hidden="false" customHeight="false" outlineLevel="0" collapsed="false">
      <c r="A148" s="3" t="s">
        <v>454</v>
      </c>
      <c r="B148" s="4" t="n">
        <v>46095</v>
      </c>
      <c r="C148" s="3" t="s">
        <v>30</v>
      </c>
      <c r="D148" s="3" t="s">
        <v>53</v>
      </c>
      <c r="E148" s="3" t="s">
        <v>54</v>
      </c>
      <c r="F148" s="5" t="n">
        <v>55</v>
      </c>
      <c r="G148" s="5" t="n">
        <v>51.34</v>
      </c>
      <c r="H148" s="3" t="n">
        <v>3</v>
      </c>
      <c r="I148" s="5" t="n">
        <f aca="false">F148*H148</f>
        <v>165</v>
      </c>
      <c r="J148" s="6" t="n">
        <f aca="false">IF(I148=0,0,G148/I148)</f>
        <v>0.311151515151515</v>
      </c>
    </row>
    <row r="149" customFormat="false" ht="15" hidden="false" customHeight="false" outlineLevel="0" collapsed="false">
      <c r="A149" s="3" t="s">
        <v>457</v>
      </c>
      <c r="B149" s="4" t="n">
        <v>46029</v>
      </c>
      <c r="C149" s="3" t="s">
        <v>11</v>
      </c>
      <c r="D149" s="3" t="s">
        <v>130</v>
      </c>
      <c r="E149" s="3" t="s">
        <v>80</v>
      </c>
      <c r="F149" s="5" t="n">
        <v>780</v>
      </c>
      <c r="G149" s="5" t="n">
        <v>1088.07</v>
      </c>
      <c r="H149" s="3" t="n">
        <v>4</v>
      </c>
      <c r="I149" s="5" t="n">
        <f aca="false">F149*H149</f>
        <v>3120</v>
      </c>
      <c r="J149" s="6" t="n">
        <f aca="false">IF(I149=0,0,G149/I149)</f>
        <v>0.348740384615385</v>
      </c>
    </row>
    <row r="150" customFormat="false" ht="15" hidden="false" customHeight="false" outlineLevel="0" collapsed="false">
      <c r="A150" s="3" t="s">
        <v>460</v>
      </c>
      <c r="B150" s="4" t="n">
        <v>46189</v>
      </c>
      <c r="C150" s="3" t="s">
        <v>30</v>
      </c>
      <c r="D150" s="3" t="s">
        <v>74</v>
      </c>
      <c r="E150" s="3" t="s">
        <v>13</v>
      </c>
      <c r="F150" s="5" t="n">
        <v>1200</v>
      </c>
      <c r="G150" s="5" t="n">
        <v>746.03</v>
      </c>
      <c r="H150" s="3" t="n">
        <v>2</v>
      </c>
      <c r="I150" s="5" t="n">
        <f aca="false">F150*H150</f>
        <v>2400</v>
      </c>
      <c r="J150" s="6" t="n">
        <f aca="false">IF(I150=0,0,G150/I150)</f>
        <v>0.310845833333333</v>
      </c>
    </row>
    <row r="151" customFormat="false" ht="15" hidden="false" customHeight="false" outlineLevel="0" collapsed="false">
      <c r="A151" s="3" t="s">
        <v>463</v>
      </c>
      <c r="B151" s="4" t="n">
        <v>46180</v>
      </c>
      <c r="C151" s="3" t="s">
        <v>59</v>
      </c>
      <c r="D151" s="3" t="s">
        <v>130</v>
      </c>
      <c r="E151" s="3" t="s">
        <v>80</v>
      </c>
      <c r="F151" s="5" t="n">
        <v>780</v>
      </c>
      <c r="G151" s="5" t="n">
        <v>192.06</v>
      </c>
      <c r="H151" s="3" t="n">
        <v>1</v>
      </c>
      <c r="I151" s="5" t="n">
        <f aca="false">F151*H151</f>
        <v>780</v>
      </c>
      <c r="J151" s="6" t="n">
        <f aca="false">IF(I151=0,0,G151/I151)</f>
        <v>0.246230769230769</v>
      </c>
    </row>
    <row r="152" customFormat="false" ht="15" hidden="false" customHeight="false" outlineLevel="0" collapsed="false">
      <c r="A152" s="3" t="s">
        <v>465</v>
      </c>
      <c r="B152" s="4" t="n">
        <v>46096</v>
      </c>
      <c r="C152" s="3" t="s">
        <v>30</v>
      </c>
      <c r="D152" s="3" t="s">
        <v>175</v>
      </c>
      <c r="E152" s="3" t="s">
        <v>54</v>
      </c>
      <c r="F152" s="5" t="n">
        <v>130</v>
      </c>
      <c r="G152" s="5" t="n">
        <v>34.22</v>
      </c>
      <c r="H152" s="3" t="n">
        <v>1</v>
      </c>
      <c r="I152" s="5" t="n">
        <f aca="false">F152*H152</f>
        <v>130</v>
      </c>
      <c r="J152" s="6" t="n">
        <f aca="false">IF(I152=0,0,G152/I152)</f>
        <v>0.263230769230769</v>
      </c>
    </row>
    <row r="153" customFormat="false" ht="15" hidden="false" customHeight="false" outlineLevel="0" collapsed="false">
      <c r="A153" s="3" t="s">
        <v>467</v>
      </c>
      <c r="B153" s="4" t="n">
        <v>46184</v>
      </c>
      <c r="C153" s="3" t="s">
        <v>30</v>
      </c>
      <c r="D153" s="3" t="s">
        <v>23</v>
      </c>
      <c r="E153" s="3" t="s">
        <v>24</v>
      </c>
      <c r="F153" s="5" t="n">
        <v>20</v>
      </c>
      <c r="G153" s="5" t="n">
        <v>4.81</v>
      </c>
      <c r="H153" s="3" t="n">
        <v>2</v>
      </c>
      <c r="I153" s="5" t="n">
        <f aca="false">F153*H153</f>
        <v>40</v>
      </c>
      <c r="J153" s="6" t="n">
        <f aca="false">IF(I153=0,0,G153/I153)</f>
        <v>0.12025</v>
      </c>
    </row>
    <row r="154" customFormat="false" ht="15" hidden="false" customHeight="false" outlineLevel="0" collapsed="false">
      <c r="A154" s="3" t="s">
        <v>469</v>
      </c>
      <c r="B154" s="4" t="n">
        <v>46193</v>
      </c>
      <c r="C154" s="3" t="s">
        <v>19</v>
      </c>
      <c r="D154" s="3" t="s">
        <v>175</v>
      </c>
      <c r="E154" s="3" t="s">
        <v>54</v>
      </c>
      <c r="F154" s="5" t="n">
        <v>130</v>
      </c>
      <c r="G154" s="5" t="n">
        <v>156.65</v>
      </c>
      <c r="H154" s="3" t="n">
        <v>5</v>
      </c>
      <c r="I154" s="5" t="n">
        <f aca="false">F154*H154</f>
        <v>650</v>
      </c>
      <c r="J154" s="6" t="n">
        <f aca="false">IF(I154=0,0,G154/I154)</f>
        <v>0.241</v>
      </c>
    </row>
    <row r="155" customFormat="false" ht="15" hidden="false" customHeight="false" outlineLevel="0" collapsed="false">
      <c r="A155" s="3" t="s">
        <v>471</v>
      </c>
      <c r="B155" s="4" t="n">
        <v>46143</v>
      </c>
      <c r="C155" s="3" t="s">
        <v>59</v>
      </c>
      <c r="D155" s="3" t="s">
        <v>53</v>
      </c>
      <c r="E155" s="3" t="s">
        <v>54</v>
      </c>
      <c r="F155" s="5" t="n">
        <v>55</v>
      </c>
      <c r="G155" s="5" t="n">
        <v>49.72</v>
      </c>
      <c r="H155" s="3" t="n">
        <v>3</v>
      </c>
      <c r="I155" s="5" t="n">
        <f aca="false">F155*H155</f>
        <v>165</v>
      </c>
      <c r="J155" s="6" t="n">
        <f aca="false">IF(I155=0,0,G155/I155)</f>
        <v>0.301333333333333</v>
      </c>
    </row>
    <row r="156" customFormat="false" ht="15" hidden="false" customHeight="false" outlineLevel="0" collapsed="false">
      <c r="A156" s="3" t="s">
        <v>474</v>
      </c>
      <c r="B156" s="4" t="n">
        <v>46034</v>
      </c>
      <c r="C156" s="3" t="s">
        <v>19</v>
      </c>
      <c r="D156" s="3" t="s">
        <v>74</v>
      </c>
      <c r="E156" s="3" t="s">
        <v>13</v>
      </c>
      <c r="F156" s="5" t="n">
        <v>1200</v>
      </c>
      <c r="G156" s="5" t="n">
        <v>1077.13</v>
      </c>
      <c r="H156" s="3" t="n">
        <v>3</v>
      </c>
      <c r="I156" s="5" t="n">
        <f aca="false">F156*H156</f>
        <v>3600</v>
      </c>
      <c r="J156" s="6" t="n">
        <f aca="false">IF(I156=0,0,G156/I156)</f>
        <v>0.299202777777778</v>
      </c>
    </row>
    <row r="157" customFormat="false" ht="15" hidden="false" customHeight="false" outlineLevel="0" collapsed="false">
      <c r="A157" s="3" t="s">
        <v>477</v>
      </c>
      <c r="B157" s="4" t="n">
        <v>46057</v>
      </c>
      <c r="C157" s="3" t="s">
        <v>19</v>
      </c>
      <c r="D157" s="3" t="s">
        <v>23</v>
      </c>
      <c r="E157" s="3" t="s">
        <v>24</v>
      </c>
      <c r="F157" s="5" t="n">
        <v>20</v>
      </c>
      <c r="G157" s="5" t="n">
        <v>3.32</v>
      </c>
      <c r="H157" s="3" t="n">
        <v>1</v>
      </c>
      <c r="I157" s="5" t="n">
        <f aca="false">F157*H157</f>
        <v>20</v>
      </c>
      <c r="J157" s="6" t="n">
        <f aca="false">IF(I157=0,0,G157/I157)</f>
        <v>0.166</v>
      </c>
    </row>
    <row r="158" customFormat="false" ht="15" hidden="false" customHeight="false" outlineLevel="0" collapsed="false">
      <c r="A158" s="3" t="s">
        <v>480</v>
      </c>
      <c r="B158" s="4" t="n">
        <v>46162</v>
      </c>
      <c r="C158" s="3" t="s">
        <v>59</v>
      </c>
      <c r="D158" s="3" t="s">
        <v>48</v>
      </c>
      <c r="E158" s="3" t="s">
        <v>43</v>
      </c>
      <c r="F158" s="5" t="n">
        <v>65</v>
      </c>
      <c r="G158" s="5" t="n">
        <v>13.14</v>
      </c>
      <c r="H158" s="3" t="n">
        <v>1</v>
      </c>
      <c r="I158" s="5" t="n">
        <f aca="false">F158*H158</f>
        <v>65</v>
      </c>
      <c r="J158" s="6" t="n">
        <f aca="false">IF(I158=0,0,G158/I158)</f>
        <v>0.202153846153846</v>
      </c>
    </row>
    <row r="159" customFormat="false" ht="15" hidden="false" customHeight="false" outlineLevel="0" collapsed="false">
      <c r="A159" s="3" t="s">
        <v>483</v>
      </c>
      <c r="B159" s="4" t="n">
        <v>46117</v>
      </c>
      <c r="C159" s="3" t="s">
        <v>30</v>
      </c>
      <c r="D159" s="3" t="s">
        <v>103</v>
      </c>
      <c r="E159" s="3" t="s">
        <v>43</v>
      </c>
      <c r="F159" s="5" t="n">
        <v>90</v>
      </c>
      <c r="G159" s="5" t="n">
        <v>75.21</v>
      </c>
      <c r="H159" s="3" t="n">
        <v>4</v>
      </c>
      <c r="I159" s="5" t="n">
        <f aca="false">F159*H159</f>
        <v>360</v>
      </c>
      <c r="J159" s="6" t="n">
        <f aca="false">IF(I159=0,0,G159/I159)</f>
        <v>0.208916666666667</v>
      </c>
    </row>
    <row r="160" customFormat="false" ht="15" hidden="false" customHeight="false" outlineLevel="0" collapsed="false">
      <c r="A160" s="3" t="s">
        <v>486</v>
      </c>
      <c r="B160" s="4" t="n">
        <v>46117</v>
      </c>
      <c r="C160" s="3" t="s">
        <v>59</v>
      </c>
      <c r="D160" s="3" t="s">
        <v>23</v>
      </c>
      <c r="E160" s="3" t="s">
        <v>24</v>
      </c>
      <c r="F160" s="5" t="n">
        <v>20</v>
      </c>
      <c r="G160" s="5" t="n">
        <v>21.76</v>
      </c>
      <c r="H160" s="3" t="n">
        <v>5</v>
      </c>
      <c r="I160" s="5" t="n">
        <f aca="false">F160*H160</f>
        <v>100</v>
      </c>
      <c r="J160" s="6" t="n">
        <f aca="false">IF(I160=0,0,G160/I160)</f>
        <v>0.2176</v>
      </c>
    </row>
    <row r="161" customFormat="false" ht="15" hidden="false" customHeight="false" outlineLevel="0" collapsed="false">
      <c r="A161" s="3" t="s">
        <v>488</v>
      </c>
      <c r="B161" s="4" t="n">
        <v>46049</v>
      </c>
      <c r="C161" s="3" t="s">
        <v>11</v>
      </c>
      <c r="D161" s="3" t="s">
        <v>138</v>
      </c>
      <c r="E161" s="3" t="s">
        <v>80</v>
      </c>
      <c r="F161" s="5" t="n">
        <v>310</v>
      </c>
      <c r="G161" s="5" t="n">
        <v>202.75</v>
      </c>
      <c r="H161" s="3" t="n">
        <v>3</v>
      </c>
      <c r="I161" s="5" t="n">
        <f aca="false">F161*H161</f>
        <v>930</v>
      </c>
      <c r="J161" s="6" t="n">
        <f aca="false">IF(I161=0,0,G161/I161)</f>
        <v>0.218010752688172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7.35" hidden="false" customHeight="false" outlineLevel="0" collapsed="false">
      <c r="B2" s="7" t="s">
        <v>494</v>
      </c>
      <c r="C2" s="7"/>
      <c r="D2" s="7"/>
      <c r="E2" s="7"/>
      <c r="F2" s="7"/>
      <c r="G2" s="7"/>
      <c r="H2" s="7"/>
    </row>
    <row r="4" customFormat="false" ht="21.75" hidden="false" customHeight="true" outlineLevel="0" collapsed="false">
      <c r="B4" s="8" t="s">
        <v>495</v>
      </c>
      <c r="C4" s="8"/>
      <c r="D4" s="8" t="s">
        <v>496</v>
      </c>
      <c r="E4" s="8"/>
      <c r="F4" s="8" t="s">
        <v>497</v>
      </c>
      <c r="G4" s="8"/>
      <c r="H4" s="8" t="s">
        <v>498</v>
      </c>
      <c r="I4" s="8"/>
      <c r="J4" s="8" t="s">
        <v>499</v>
      </c>
      <c r="K4" s="8"/>
    </row>
    <row r="5" customFormat="false" ht="27.75" hidden="false" customHeight="true" outlineLevel="0" collapsed="false">
      <c r="B5" s="9" t="n">
        <f aca="false">SUM('Cleaned Data'!I2:I161)</f>
        <v>171284</v>
      </c>
      <c r="C5" s="9"/>
      <c r="D5" s="9" t="n">
        <f aca="false">SUM('Cleaned Data'!G2:G161)</f>
        <v>43547.95</v>
      </c>
      <c r="E5" s="9"/>
      <c r="F5" s="10" t="n">
        <f aca="false">COUNTA('Cleaned Data'!A2:A161)</f>
        <v>160</v>
      </c>
      <c r="G5" s="10"/>
      <c r="H5" s="9" t="n">
        <f aca="false">B5/F5</f>
        <v>1070.525</v>
      </c>
      <c r="I5" s="9"/>
      <c r="J5" s="11" t="n">
        <f aca="false">D5/B5</f>
        <v>0.254244120875272</v>
      </c>
      <c r="K5" s="11"/>
    </row>
  </sheetData>
  <mergeCells count="11">
    <mergeCell ref="B2:H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2</v>
      </c>
      <c r="B1" s="1" t="s">
        <v>500</v>
      </c>
      <c r="C1" s="1" t="s">
        <v>496</v>
      </c>
      <c r="D1" s="1" t="s">
        <v>501</v>
      </c>
      <c r="E1" s="1" t="s">
        <v>502</v>
      </c>
    </row>
    <row r="2" customFormat="false" ht="15" hidden="false" customHeight="false" outlineLevel="0" collapsed="false">
      <c r="A2" s="3" t="s">
        <v>11</v>
      </c>
      <c r="B2" s="12" t="n">
        <f aca="false">SUMIF('Cleaned Data'!$C$2:$C$161,A2,'Cleaned Data'!$I$2:$I$161)</f>
        <v>55454</v>
      </c>
      <c r="C2" s="12" t="n">
        <f aca="false">SUMIF('Cleaned Data'!$C$2:$C$161,A2,'Cleaned Data'!$G$2:$G$161)</f>
        <v>13605.36</v>
      </c>
      <c r="D2" s="6" t="n">
        <f aca="false">C2/B2</f>
        <v>0.245344970606268</v>
      </c>
      <c r="E2" s="3" t="n">
        <f aca="false">COUNTIF('Cleaned Data'!$C$2:$C$161,A2)</f>
        <v>46</v>
      </c>
    </row>
    <row r="3" customFormat="false" ht="15" hidden="false" customHeight="false" outlineLevel="0" collapsed="false">
      <c r="A3" s="3" t="s">
        <v>30</v>
      </c>
      <c r="B3" s="12" t="n">
        <f aca="false">SUMIF('Cleaned Data'!$C$2:$C$161,A3,'Cleaned Data'!$I$2:$I$161)</f>
        <v>39486</v>
      </c>
      <c r="C3" s="12" t="n">
        <f aca="false">SUMIF('Cleaned Data'!$C$2:$C$161,A3,'Cleaned Data'!$G$2:$G$161)</f>
        <v>11142.33</v>
      </c>
      <c r="D3" s="6" t="n">
        <f aca="false">C3/B3</f>
        <v>0.28218431849263</v>
      </c>
      <c r="E3" s="3" t="n">
        <f aca="false">COUNTIF('Cleaned Data'!$C$2:$C$161,A3)</f>
        <v>35</v>
      </c>
    </row>
    <row r="4" customFormat="false" ht="15" hidden="false" customHeight="false" outlineLevel="0" collapsed="false">
      <c r="A4" s="3" t="s">
        <v>19</v>
      </c>
      <c r="B4" s="12" t="n">
        <f aca="false">SUMIF('Cleaned Data'!$C$2:$C$161,A4,'Cleaned Data'!$I$2:$I$161)</f>
        <v>53847</v>
      </c>
      <c r="C4" s="12" t="n">
        <f aca="false">SUMIF('Cleaned Data'!$C$2:$C$161,A4,'Cleaned Data'!$G$2:$G$161)</f>
        <v>12892.52</v>
      </c>
      <c r="D4" s="6" t="n">
        <f aca="false">C4/B4</f>
        <v>0.2394287518339</v>
      </c>
      <c r="E4" s="3" t="n">
        <f aca="false">COUNTIF('Cleaned Data'!$C$2:$C$161,A4)</f>
        <v>39</v>
      </c>
    </row>
    <row r="5" customFormat="false" ht="15" hidden="false" customHeight="false" outlineLevel="0" collapsed="false">
      <c r="A5" s="3" t="s">
        <v>59</v>
      </c>
      <c r="B5" s="12" t="n">
        <f aca="false">SUMIF('Cleaned Data'!$C$2:$C$161,A5,'Cleaned Data'!$I$2:$I$161)</f>
        <v>22497</v>
      </c>
      <c r="C5" s="12" t="n">
        <f aca="false">SUMIF('Cleaned Data'!$C$2:$C$161,A5,'Cleaned Data'!$G$2:$G$161)</f>
        <v>5907.74</v>
      </c>
      <c r="D5" s="6" t="n">
        <f aca="false">C5/B5</f>
        <v>0.262601235720318</v>
      </c>
      <c r="E5" s="3" t="n">
        <f aca="false">COUNTIF('Cleaned Data'!$C$2:$C$161,A5)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500</v>
      </c>
      <c r="D1" s="1" t="s">
        <v>496</v>
      </c>
      <c r="E1" s="1" t="s">
        <v>503</v>
      </c>
    </row>
    <row r="2" customFormat="false" ht="15" hidden="false" customHeight="false" outlineLevel="0" collapsed="false">
      <c r="A2" s="3" t="s">
        <v>103</v>
      </c>
      <c r="B2" s="3" t="s">
        <v>43</v>
      </c>
      <c r="C2" s="12" t="n">
        <f aca="false">SUMIF('Cleaned Data'!$D$2:$D$161,A2,'Cleaned Data'!$I$2:$I$161)</f>
        <v>2790</v>
      </c>
      <c r="D2" s="12" t="n">
        <f aca="false">SUMIF('Cleaned Data'!$D$2:$D$161,A2,'Cleaned Data'!$G$2:$G$161)</f>
        <v>630.12</v>
      </c>
      <c r="E2" s="3" t="n">
        <f aca="false">SUMIF('Cleaned Data'!$D$2:$D$161,A2,'Cleaned Data'!$H$2:$H$161)</f>
        <v>31</v>
      </c>
    </row>
    <row r="3" customFormat="false" ht="15" hidden="false" customHeight="false" outlineLevel="0" collapsed="false">
      <c r="A3" s="3" t="s">
        <v>287</v>
      </c>
      <c r="B3" s="3" t="s">
        <v>13</v>
      </c>
      <c r="C3" s="12" t="n">
        <f aca="false">SUMIF('Cleaned Data'!$D$2:$D$161,A3,'Cleaned Data'!$I$2:$I$161)</f>
        <v>10780</v>
      </c>
      <c r="D3" s="12" t="n">
        <f aca="false">SUMIF('Cleaned Data'!$D$2:$D$161,A3,'Cleaned Data'!$G$2:$G$161)</f>
        <v>2921.17</v>
      </c>
      <c r="E3" s="3" t="n">
        <f aca="false">SUMIF('Cleaned Data'!$D$2:$D$161,A3,'Cleaned Data'!$H$2:$H$161)</f>
        <v>11</v>
      </c>
    </row>
    <row r="4" customFormat="false" ht="15" hidden="false" customHeight="false" outlineLevel="0" collapsed="false">
      <c r="A4" s="3" t="s">
        <v>37</v>
      </c>
      <c r="B4" s="3" t="s">
        <v>24</v>
      </c>
      <c r="C4" s="12" t="n">
        <f aca="false">SUMIF('Cleaned Data'!$D$2:$D$161,A4,'Cleaned Data'!$I$2:$I$161)</f>
        <v>1075</v>
      </c>
      <c r="D4" s="12" t="n">
        <f aca="false">SUMIF('Cleaned Data'!$D$2:$D$161,A4,'Cleaned Data'!$G$2:$G$161)</f>
        <v>241.26</v>
      </c>
      <c r="E4" s="3" t="n">
        <f aca="false">SUMIF('Cleaned Data'!$D$2:$D$161,A4,'Cleaned Data'!$H$2:$H$161)</f>
        <v>43</v>
      </c>
    </row>
    <row r="5" customFormat="false" ht="15" hidden="false" customHeight="false" outlineLevel="0" collapsed="false">
      <c r="A5" s="3" t="s">
        <v>53</v>
      </c>
      <c r="B5" s="3" t="s">
        <v>54</v>
      </c>
      <c r="C5" s="12" t="n">
        <f aca="false">SUMIF('Cleaned Data'!$D$2:$D$161,A5,'Cleaned Data'!$I$2:$I$161)</f>
        <v>3025</v>
      </c>
      <c r="D5" s="12" t="n">
        <f aca="false">SUMIF('Cleaned Data'!$D$2:$D$161,A5,'Cleaned Data'!$G$2:$G$161)</f>
        <v>704.88</v>
      </c>
      <c r="E5" s="3" t="n">
        <f aca="false">SUMIF('Cleaned Data'!$D$2:$D$161,A5,'Cleaned Data'!$H$2:$H$161)</f>
        <v>55</v>
      </c>
    </row>
    <row r="6" customFormat="false" ht="15" hidden="false" customHeight="false" outlineLevel="0" collapsed="false">
      <c r="A6" s="3" t="s">
        <v>175</v>
      </c>
      <c r="B6" s="3" t="s">
        <v>54</v>
      </c>
      <c r="C6" s="12" t="n">
        <f aca="false">SUMIF('Cleaned Data'!$D$2:$D$161,A6,'Cleaned Data'!$I$2:$I$161)</f>
        <v>2340</v>
      </c>
      <c r="D6" s="12" t="n">
        <f aca="false">SUMIF('Cleaned Data'!$D$2:$D$161,A6,'Cleaned Data'!$G$2:$G$161)</f>
        <v>568.63</v>
      </c>
      <c r="E6" s="3" t="n">
        <f aca="false">SUMIF('Cleaned Data'!$D$2:$D$161,A6,'Cleaned Data'!$H$2:$H$161)</f>
        <v>18</v>
      </c>
    </row>
    <row r="7" customFormat="false" ht="15" hidden="false" customHeight="false" outlineLevel="0" collapsed="false">
      <c r="A7" s="3" t="s">
        <v>74</v>
      </c>
      <c r="B7" s="3" t="s">
        <v>13</v>
      </c>
      <c r="C7" s="12" t="n">
        <f aca="false">SUMIF('Cleaned Data'!$D$2:$D$161,A7,'Cleaned Data'!$I$2:$I$161)</f>
        <v>58800</v>
      </c>
      <c r="D7" s="12" t="n">
        <f aca="false">SUMIF('Cleaned Data'!$D$2:$D$161,A7,'Cleaned Data'!$G$2:$G$161)</f>
        <v>15266.84</v>
      </c>
      <c r="E7" s="3" t="n">
        <f aca="false">SUMIF('Cleaned Data'!$D$2:$D$161,A7,'Cleaned Data'!$H$2:$H$161)</f>
        <v>49</v>
      </c>
    </row>
    <row r="8" customFormat="false" ht="15" hidden="false" customHeight="false" outlineLevel="0" collapsed="false">
      <c r="A8" s="3" t="s">
        <v>23</v>
      </c>
      <c r="B8" s="3" t="s">
        <v>24</v>
      </c>
      <c r="C8" s="12" t="n">
        <f aca="false">SUMIF('Cleaned Data'!$D$2:$D$161,A8,'Cleaned Data'!$I$2:$I$161)</f>
        <v>960</v>
      </c>
      <c r="D8" s="12" t="n">
        <f aca="false">SUMIF('Cleaned Data'!$D$2:$D$161,A8,'Cleaned Data'!$G$2:$G$161)</f>
        <v>198.83</v>
      </c>
      <c r="E8" s="3" t="n">
        <f aca="false">SUMIF('Cleaned Data'!$D$2:$D$161,A8,'Cleaned Data'!$H$2:$H$161)</f>
        <v>48</v>
      </c>
    </row>
    <row r="9" customFormat="false" ht="15" hidden="false" customHeight="false" outlineLevel="0" collapsed="false">
      <c r="A9" s="3" t="s">
        <v>79</v>
      </c>
      <c r="B9" s="3" t="s">
        <v>80</v>
      </c>
      <c r="C9" s="12" t="n">
        <f aca="false">SUMIF('Cleaned Data'!$D$2:$D$161,A9,'Cleaned Data'!$I$2:$I$161)</f>
        <v>9300</v>
      </c>
      <c r="D9" s="12" t="n">
        <f aca="false">SUMIF('Cleaned Data'!$D$2:$D$161,A9,'Cleaned Data'!$G$2:$G$161)</f>
        <v>2650.14</v>
      </c>
      <c r="E9" s="3" t="n">
        <f aca="false">SUMIF('Cleaned Data'!$D$2:$D$161,A9,'Cleaned Data'!$H$2:$H$161)</f>
        <v>15</v>
      </c>
    </row>
    <row r="10" customFormat="false" ht="15" hidden="false" customHeight="false" outlineLevel="0" collapsed="false">
      <c r="A10" s="3" t="s">
        <v>130</v>
      </c>
      <c r="B10" s="3" t="s">
        <v>80</v>
      </c>
      <c r="C10" s="12" t="n">
        <f aca="false">SUMIF('Cleaned Data'!$D$2:$D$161,A10,'Cleaned Data'!$I$2:$I$161)</f>
        <v>39000</v>
      </c>
      <c r="D10" s="12" t="n">
        <f aca="false">SUMIF('Cleaned Data'!$D$2:$D$161,A10,'Cleaned Data'!$G$2:$G$161)</f>
        <v>9474.05</v>
      </c>
      <c r="E10" s="3" t="n">
        <f aca="false">SUMIF('Cleaned Data'!$D$2:$D$161,A10,'Cleaned Data'!$H$2:$H$161)</f>
        <v>50</v>
      </c>
    </row>
    <row r="11" customFormat="false" ht="15" hidden="false" customHeight="false" outlineLevel="0" collapsed="false">
      <c r="A11" s="3" t="s">
        <v>138</v>
      </c>
      <c r="B11" s="3" t="s">
        <v>80</v>
      </c>
      <c r="C11" s="12" t="n">
        <f aca="false">SUMIF('Cleaned Data'!$D$2:$D$161,A11,'Cleaned Data'!$I$2:$I$161)</f>
        <v>6200</v>
      </c>
      <c r="D11" s="12" t="n">
        <f aca="false">SUMIF('Cleaned Data'!$D$2:$D$161,A11,'Cleaned Data'!$G$2:$G$161)</f>
        <v>1484.35</v>
      </c>
      <c r="E11" s="3" t="n">
        <f aca="false">SUMIF('Cleaned Data'!$D$2:$D$161,A11,'Cleaned Data'!$H$2:$H$161)</f>
        <v>20</v>
      </c>
    </row>
    <row r="12" customFormat="false" ht="15" hidden="false" customHeight="false" outlineLevel="0" collapsed="false">
      <c r="A12" s="3" t="s">
        <v>150</v>
      </c>
      <c r="B12" s="3" t="s">
        <v>80</v>
      </c>
      <c r="C12" s="12" t="n">
        <f aca="false">SUMIF('Cleaned Data'!$D$2:$D$161,A12,'Cleaned Data'!$I$2:$I$161)</f>
        <v>11210</v>
      </c>
      <c r="D12" s="12" t="n">
        <f aca="false">SUMIF('Cleaned Data'!$D$2:$D$161,A12,'Cleaned Data'!$G$2:$G$161)</f>
        <v>3250.76</v>
      </c>
      <c r="E12" s="3" t="n">
        <f aca="false">SUMIF('Cleaned Data'!$D$2:$D$161,A12,'Cleaned Data'!$H$2:$H$161)</f>
        <v>19</v>
      </c>
    </row>
    <row r="13" customFormat="false" ht="15" hidden="false" customHeight="false" outlineLevel="0" collapsed="false">
      <c r="A13" s="3" t="s">
        <v>12</v>
      </c>
      <c r="B13" s="3" t="s">
        <v>13</v>
      </c>
      <c r="C13" s="12" t="n">
        <f aca="false">SUMIF('Cleaned Data'!$D$2:$D$161,A13,'Cleaned Data'!$I$2:$I$161)</f>
        <v>8500</v>
      </c>
      <c r="D13" s="12" t="n">
        <f aca="false">SUMIF('Cleaned Data'!$D$2:$D$161,A13,'Cleaned Data'!$G$2:$G$161)</f>
        <v>2136.99</v>
      </c>
      <c r="E13" s="3" t="n">
        <f aca="false">SUMIF('Cleaned Data'!$D$2:$D$161,A13,'Cleaned Data'!$H$2:$H$161)</f>
        <v>10</v>
      </c>
    </row>
    <row r="14" customFormat="false" ht="15" hidden="false" customHeight="false" outlineLevel="0" collapsed="false">
      <c r="A14" s="3" t="s">
        <v>31</v>
      </c>
      <c r="B14" s="3" t="s">
        <v>43</v>
      </c>
      <c r="C14" s="12" t="n">
        <f aca="false">SUMIF('Cleaned Data'!$D$2:$D$161,A14,'Cleaned Data'!$I$2:$I$161)</f>
        <v>2340</v>
      </c>
      <c r="D14" s="12" t="n">
        <f aca="false">SUMIF('Cleaned Data'!$D$2:$D$161,A14,'Cleaned Data'!$G$2:$G$161)</f>
        <v>562.87</v>
      </c>
      <c r="E14" s="3" t="n">
        <f aca="false">SUMIF('Cleaned Data'!$D$2:$D$161,A14,'Cleaned Data'!$H$2:$H$161)</f>
        <v>52</v>
      </c>
    </row>
    <row r="15" customFormat="false" ht="15" hidden="false" customHeight="false" outlineLevel="0" collapsed="false">
      <c r="A15" s="3" t="s">
        <v>48</v>
      </c>
      <c r="B15" s="3" t="s">
        <v>43</v>
      </c>
      <c r="C15" s="12" t="n">
        <f aca="false">SUMIF('Cleaned Data'!$D$2:$D$161,A15,'Cleaned Data'!$I$2:$I$161)</f>
        <v>3120</v>
      </c>
      <c r="D15" s="12" t="n">
        <f aca="false">SUMIF('Cleaned Data'!$D$2:$D$161,A15,'Cleaned Data'!$G$2:$G$161)</f>
        <v>651.22</v>
      </c>
      <c r="E15" s="3" t="n">
        <f aca="false">SUMIF('Cleaned Data'!$D$2:$D$161,A15,'Cleaned Data'!$H$2:$H$161)</f>
        <v>48</v>
      </c>
    </row>
    <row r="16" customFormat="false" ht="15" hidden="false" customHeight="false" outlineLevel="0" collapsed="false">
      <c r="A16" s="3" t="s">
        <v>110</v>
      </c>
      <c r="B16" s="3" t="s">
        <v>24</v>
      </c>
      <c r="C16" s="12" t="n">
        <f aca="false">SUMIF('Cleaned Data'!$D$2:$D$161,A16,'Cleaned Data'!$I$2:$I$161)</f>
        <v>324</v>
      </c>
      <c r="D16" s="12" t="n">
        <f aca="false">SUMIF('Cleaned Data'!$D$2:$D$161,A16,'Cleaned Data'!$G$2:$G$161)</f>
        <v>82.75</v>
      </c>
      <c r="E16" s="3" t="n">
        <f aca="false">SUMIF('Cleaned Data'!$D$2:$D$161,A16,'Cleaned Data'!$H$2:$H$161)</f>
        <v>27</v>
      </c>
    </row>
    <row r="17" customFormat="false" ht="15" hidden="false" customHeight="false" outlineLevel="0" collapsed="false">
      <c r="A17" s="3" t="s">
        <v>67</v>
      </c>
      <c r="B17" s="3" t="s">
        <v>13</v>
      </c>
      <c r="C17" s="12" t="n">
        <f aca="false">SUMIF('Cleaned Data'!$D$2:$D$161,A17,'Cleaned Data'!$I$2:$I$161)</f>
        <v>11520</v>
      </c>
      <c r="D17" s="12" t="n">
        <f aca="false">SUMIF('Cleaned Data'!$D$2:$D$161,A17,'Cleaned Data'!$G$2:$G$161)</f>
        <v>2723.09</v>
      </c>
      <c r="E17" s="3" t="n">
        <f aca="false">SUMIF('Cleaned Data'!$D$2:$D$161,A17,'Cleaned Data'!$H$2:$H$161)</f>
        <v>16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1" t="s">
        <v>504</v>
      </c>
      <c r="B1" s="1" t="s">
        <v>500</v>
      </c>
      <c r="C1" s="1" t="s">
        <v>496</v>
      </c>
    </row>
    <row r="2" customFormat="false" ht="15" hidden="false" customHeight="false" outlineLevel="0" collapsed="false">
      <c r="A2" s="3" t="s">
        <v>505</v>
      </c>
      <c r="B2" s="12" t="n">
        <f aca="false">SUMPRODUCT((TEXT('Cleaned Data'!$B$2:$B$161,"yyyy-mm")=A2)*'Cleaned Data'!$I$2:$I$161)</f>
        <v>31977</v>
      </c>
      <c r="C2" s="12" t="n">
        <f aca="false">SUMPRODUCT((TEXT('Cleaned Data'!$B$2:$B$161,"yyyy-mm")=A2)*'Cleaned Data'!$G$2:$G$161)</f>
        <v>8380.04</v>
      </c>
    </row>
    <row r="3" customFormat="false" ht="15" hidden="false" customHeight="false" outlineLevel="0" collapsed="false">
      <c r="A3" s="3" t="s">
        <v>506</v>
      </c>
      <c r="B3" s="12" t="n">
        <f aca="false">SUMPRODUCT((TEXT('Cleaned Data'!$B$2:$B$161,"yyyy-mm")=A3)*'Cleaned Data'!$I$2:$I$161)</f>
        <v>24055</v>
      </c>
      <c r="C3" s="12" t="n">
        <f aca="false">SUMPRODUCT((TEXT('Cleaned Data'!$B$2:$B$161,"yyyy-mm")=A3)*'Cleaned Data'!$G$2:$G$161)</f>
        <v>6915.37</v>
      </c>
    </row>
    <row r="4" customFormat="false" ht="15" hidden="false" customHeight="false" outlineLevel="0" collapsed="false">
      <c r="A4" s="3" t="s">
        <v>507</v>
      </c>
      <c r="B4" s="12" t="n">
        <f aca="false">SUMPRODUCT((TEXT('Cleaned Data'!$B$2:$B$161,"yyyy-mm")=A4)*'Cleaned Data'!$I$2:$I$161)</f>
        <v>15852</v>
      </c>
      <c r="C4" s="12" t="n">
        <f aca="false">SUMPRODUCT((TEXT('Cleaned Data'!$B$2:$B$161,"yyyy-mm")=A4)*'Cleaned Data'!$G$2:$G$161)</f>
        <v>3894.82</v>
      </c>
    </row>
    <row r="5" customFormat="false" ht="15" hidden="false" customHeight="false" outlineLevel="0" collapsed="false">
      <c r="A5" s="3" t="s">
        <v>508</v>
      </c>
      <c r="B5" s="12" t="n">
        <f aca="false">SUMPRODUCT((TEXT('Cleaned Data'!$B$2:$B$161,"yyyy-mm")=A5)*'Cleaned Data'!$I$2:$I$161)</f>
        <v>28879</v>
      </c>
      <c r="C5" s="12" t="n">
        <f aca="false">SUMPRODUCT((TEXT('Cleaned Data'!$B$2:$B$161,"yyyy-mm")=A5)*'Cleaned Data'!$G$2:$G$161)</f>
        <v>7190.46</v>
      </c>
    </row>
    <row r="6" customFormat="false" ht="15" hidden="false" customHeight="false" outlineLevel="0" collapsed="false">
      <c r="A6" s="3" t="s">
        <v>509</v>
      </c>
      <c r="B6" s="12" t="n">
        <f aca="false">SUMPRODUCT((TEXT('Cleaned Data'!$B$2:$B$161,"yyyy-mm")=A6)*'Cleaned Data'!$I$2:$I$161)</f>
        <v>40366</v>
      </c>
      <c r="C6" s="12" t="n">
        <f aca="false">SUMPRODUCT((TEXT('Cleaned Data'!$B$2:$B$161,"yyyy-mm")=A6)*'Cleaned Data'!$G$2:$G$161)</f>
        <v>10658.84</v>
      </c>
    </row>
    <row r="7" customFormat="false" ht="15" hidden="false" customHeight="false" outlineLevel="0" collapsed="false">
      <c r="A7" s="3" t="s">
        <v>510</v>
      </c>
      <c r="B7" s="12" t="n">
        <f aca="false">SUMPRODUCT((TEXT('Cleaned Data'!$B$2:$B$161,"yyyy-mm")=A7)*'Cleaned Data'!$I$2:$I$161)</f>
        <v>30155</v>
      </c>
      <c r="C7" s="12" t="n">
        <f aca="false">SUMPRODUCT((TEXT('Cleaned Data'!$B$2:$B$161,"yyyy-mm")=A7)*'Cleaned Data'!$G$2:$G$161)</f>
        <v>6508.42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2026-07-04T03:03:54Z</dcterms:created>
  <dc:creator>openpyxl</dc:creator>
  <dc:description/>
  <dc:language>en-US</dc:language>
  <cp:lastModifiedBy/>
  <dcterms:modified xsi:type="dcterms:W3CDTF">2026-07-04T03:04:05Z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